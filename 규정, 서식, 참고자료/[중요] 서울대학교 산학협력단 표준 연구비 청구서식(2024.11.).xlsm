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drawings/drawing6.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46.xml" ContentType="application/vnd.ms-excel.controlproperties+xml"/>
  <Override PartName="/xl/drawings/drawing8.xml" ContentType="application/vnd.openxmlformats-officedocument.drawing+xml"/>
  <Override PartName="/xl/ctrlProps/ctrlProp47.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10.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drawings/drawing11.xml" ContentType="application/vnd.openxmlformats-officedocument.drawing+xml"/>
  <Override PartName="/xl/ctrlProps/ctrlProp83.xml" ContentType="application/vnd.ms-excel.controlproperties+xml"/>
  <Override PartName="/xl/drawings/drawing12.xml" ContentType="application/vnd.openxmlformats-officedocument.drawing+xml"/>
  <Override PartName="/xl/ctrlProps/ctrlProp84.xml" ContentType="application/vnd.ms-excel.controlproperties+xml"/>
  <Override PartName="/xl/ctrlProps/ctrlProp85.xml" ContentType="application/vnd.ms-excel.controlproperties+xml"/>
  <Override PartName="/xl/comments4.xml" ContentType="application/vnd.openxmlformats-officedocument.spreadsheetml.comments+xml"/>
  <Override PartName="/xl/drawings/drawing13.xml" ContentType="application/vnd.openxmlformats-officedocument.drawing+xml"/>
  <Override PartName="/xl/ctrlProps/ctrlProp86.xml" ContentType="application/vnd.ms-excel.controlproperties+xml"/>
  <Override PartName="/xl/drawings/drawing14.xml" ContentType="application/vnd.openxmlformats-officedocument.drawing+xml"/>
  <Override PartName="/xl/ctrlProps/ctrlProp87.xml" ContentType="application/vnd.ms-excel.controlproperties+xml"/>
  <Override PartName="/xl/drawings/drawing15.xml" ContentType="application/vnd.openxmlformats-officedocument.drawing+xml"/>
  <Override PartName="/xl/ctrlProps/ctrlProp88.xml" ContentType="application/vnd.ms-excel.controlproperties+xml"/>
  <Override PartName="/xl/ctrlProps/ctrlProp89.xml" ContentType="application/vnd.ms-excel.controlproperties+xml"/>
  <Override PartName="/xl/comments5.xml" ContentType="application/vnd.openxmlformats-officedocument.spreadsheetml.comments+xml"/>
  <Override PartName="/xl/drawings/drawing16.xml" ContentType="application/vnd.openxmlformats-officedocument.drawing+xml"/>
  <Override PartName="/xl/ctrlProps/ctrlProp90.xml" ContentType="application/vnd.ms-excel.controlproperties+xml"/>
  <Override PartName="/xl/drawings/drawing17.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omments6.xml" ContentType="application/vnd.openxmlformats-officedocument.spreadsheetml.comments+xml"/>
  <Override PartName="/xl/drawings/drawing18.xml" ContentType="application/vnd.openxmlformats-officedocument.drawing+xml"/>
  <Override PartName="/xl/ctrlProps/ctrlProp124.xml" ContentType="application/vnd.ms-excel.controlproperties+xml"/>
  <Override PartName="/xl/drawings/drawing19.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372AB895-14C1-FC20-EB20-F1B4BCFD95AE}"/>
  <workbookPr codeName="현재_통합_문서" defaultThemeVersion="166925"/>
  <mc:AlternateContent xmlns:mc="http://schemas.openxmlformats.org/markup-compatibility/2006">
    <mc:Choice Requires="x15">
      <x15ac:absPath xmlns:x15ac="http://schemas.microsoft.com/office/spreadsheetml/2010/11/ac" url="C:\Users\User\Downloads\"/>
    </mc:Choice>
  </mc:AlternateContent>
  <xr:revisionPtr revIDLastSave="0" documentId="13_ncr:1_{C8501097-59B7-4057-B586-1F3BB5BC65DE}" xr6:coauthVersionLast="47" xr6:coauthVersionMax="47" xr10:uidLastSave="{00000000-0000-0000-0000-000000000000}"/>
  <bookViews>
    <workbookView xWindow="38280" yWindow="-120" windowWidth="38640" windowHeight="21120" activeTab="3" xr2:uid="{00000000-000D-0000-FFFF-FFFF00000000}"/>
  </bookViews>
  <sheets>
    <sheet name="목차" sheetId="1" r:id="rId1"/>
    <sheet name="1" sheetId="2" r:id="rId2"/>
    <sheet name="1-1" sheetId="22" r:id="rId3"/>
    <sheet name="2-1" sheetId="6" r:id="rId4"/>
    <sheet name="2-2" sheetId="17" r:id="rId5"/>
    <sheet name="3" sheetId="10" r:id="rId6"/>
    <sheet name="4" sheetId="11" r:id="rId7"/>
    <sheet name="5" sheetId="21" r:id="rId8"/>
    <sheet name="6" sheetId="3" r:id="rId9"/>
    <sheet name="7" sheetId="18" r:id="rId10"/>
    <sheet name="8" sheetId="4" r:id="rId11"/>
    <sheet name="9" sheetId="7" r:id="rId12"/>
    <sheet name="10" sheetId="9" r:id="rId13"/>
    <sheet name="11" sheetId="20" r:id="rId14"/>
    <sheet name="A" sheetId="8" r:id="rId15"/>
    <sheet name=" B" sheetId="12" r:id="rId16"/>
    <sheet name="C" sheetId="13" r:id="rId17"/>
    <sheet name="D" sheetId="14" r:id="rId18"/>
    <sheet name="E" sheetId="15" r:id="rId19"/>
    <sheet name="F" sheetId="19" r:id="rId20"/>
    <sheet name="Sheet1" sheetId="16" state="hidden" r:id="rId21"/>
  </sheets>
  <externalReferences>
    <externalReference r:id="rId22"/>
  </externalReferences>
  <definedNames>
    <definedName name="_xlnm.Print_Area" localSheetId="15">' B'!$A$2:$U$43</definedName>
    <definedName name="_xlnm.Print_Area" localSheetId="1">'1'!$B$4:$J$98,'1'!$L$4:$T$95</definedName>
    <definedName name="_xlnm.Print_Area" localSheetId="12">'10'!$B$2:$J$35</definedName>
    <definedName name="_xlnm.Print_Area" localSheetId="2">'1-1'!$B$4:$J$116,'1-1'!#REF!</definedName>
    <definedName name="_xlnm.Print_Area" localSheetId="3">'2-1'!$B$4:$P$31,'2-1'!$R$4:$X$31,'2-1'!$AA$4:$AG$31</definedName>
    <definedName name="_xlnm.Print_Area" localSheetId="4">'2-2'!$B$2:$J$30,'2-2'!$L$2:$T$32</definedName>
    <definedName name="_xlnm.Print_Area" localSheetId="5">'3'!$B$3:$M$43,'3'!$U$3:$AF$43</definedName>
    <definedName name="_xlnm.Print_Area" localSheetId="6">'4'!$B$3:$L$24</definedName>
    <definedName name="_xlnm.Print_Area" localSheetId="7">'5'!$B$3:$L$24</definedName>
    <definedName name="_xlnm.Print_Area" localSheetId="8">'6'!$B$4:$O$47</definedName>
    <definedName name="_xlnm.Print_Area" localSheetId="9">'7'!$B$3:$K$48</definedName>
    <definedName name="_xlnm.Print_Area" localSheetId="10">'8'!$B$2:$L$30</definedName>
    <definedName name="_xlnm.Print_Area" localSheetId="11">'9'!$B$2:$L$28,'9'!$N$2:$X$29</definedName>
    <definedName name="_xlnm.Print_Area" localSheetId="14">A!$B$2:$L$24,A!$N$2:$X$24</definedName>
    <definedName name="_xlnm.Print_Area" localSheetId="16">'C'!$A$3:$S$41</definedName>
    <definedName name="_xlnm.Print_Area" localSheetId="17">D!$B$2:$K$18</definedName>
    <definedName name="_xlnm.Print_Area" localSheetId="18">E!$A$2:$G$32</definedName>
    <definedName name="_xlnm.Print_Area" localSheetId="19">F!$A$1:$L$35</definedName>
    <definedName name="국가명">[1]Sheet2!$A$2:$A$267</definedName>
    <definedName name="이름" localSheetId="13">#REF!</definedName>
    <definedName name="이름" localSheetId="2">#REF!</definedName>
    <definedName name="이름" localSheetId="7">#REF!</definedName>
    <definedName name="이름" localSheetId="9">#REF!</definedName>
    <definedName name="이름">#REF!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4" i="7" l="1"/>
  <c r="L13" i="19"/>
  <c r="I116" i="22"/>
  <c r="I115" i="22"/>
  <c r="I114" i="22"/>
  <c r="F114" i="22"/>
  <c r="I113" i="22"/>
  <c r="B111" i="22"/>
  <c r="I16" i="22"/>
  <c r="E16" i="22"/>
  <c r="F115" i="22" s="1"/>
  <c r="I14" i="22"/>
  <c r="E12" i="22"/>
  <c r="F113" i="22" s="1"/>
  <c r="G21" i="22" l="1"/>
  <c r="J16" i="19"/>
  <c r="J14" i="19" l="1"/>
  <c r="AE39" i="13" l="1"/>
  <c r="S8" i="6" l="1"/>
  <c r="V9" i="6"/>
  <c r="S9" i="6"/>
  <c r="T7" i="6"/>
  <c r="T6" i="6"/>
  <c r="W39" i="18"/>
  <c r="R41" i="3" l="1"/>
  <c r="AM139" i="2" l="1"/>
  <c r="AM137" i="2"/>
  <c r="AM135" i="2"/>
  <c r="AJ135" i="2"/>
  <c r="AM134" i="2"/>
  <c r="AF132" i="2"/>
  <c r="AM15" i="2"/>
  <c r="AI15" i="2"/>
  <c r="AJ137" i="2" s="1"/>
  <c r="AM13" i="2"/>
  <c r="AI11" i="2"/>
  <c r="AK21" i="2" s="1"/>
  <c r="AJ134" i="2" l="1"/>
  <c r="A23" i="20" l="1"/>
  <c r="F155" i="2" l="1"/>
  <c r="I156" i="2" l="1"/>
  <c r="I155" i="2"/>
  <c r="I154" i="2"/>
  <c r="F154" i="2"/>
  <c r="I153" i="2"/>
  <c r="F153" i="2"/>
  <c r="B151" i="2"/>
  <c r="E119" i="2"/>
  <c r="E115" i="2"/>
  <c r="E113" i="2"/>
  <c r="A27" i="19" l="1"/>
  <c r="J26" i="19"/>
  <c r="L26" i="19" s="1"/>
  <c r="A26" i="19"/>
  <c r="J25" i="19"/>
  <c r="L25" i="19" s="1"/>
  <c r="A25" i="19"/>
  <c r="J24" i="19"/>
  <c r="L24" i="19" s="1"/>
  <c r="A24" i="19"/>
  <c r="J23" i="19"/>
  <c r="L23" i="19" s="1"/>
  <c r="A23" i="19"/>
  <c r="J22" i="19"/>
  <c r="L22" i="19" s="1"/>
  <c r="A22" i="19"/>
  <c r="J21" i="19"/>
  <c r="L21" i="19" s="1"/>
  <c r="A21" i="19"/>
  <c r="J20" i="19"/>
  <c r="L20" i="19" s="1"/>
  <c r="A20" i="19"/>
  <c r="J19" i="19"/>
  <c r="L19" i="19" s="1"/>
  <c r="A19" i="19"/>
  <c r="J18" i="19"/>
  <c r="L18" i="19" s="1"/>
  <c r="A18" i="19"/>
  <c r="J17" i="19"/>
  <c r="L17" i="19" s="1"/>
  <c r="A17" i="19"/>
  <c r="L16" i="19"/>
  <c r="A16" i="19"/>
  <c r="J15" i="19"/>
  <c r="L15" i="19" s="1"/>
  <c r="A15" i="19"/>
  <c r="L14" i="19"/>
  <c r="A14" i="19"/>
  <c r="J13" i="19"/>
  <c r="C29" i="19" l="1"/>
  <c r="F29" i="19"/>
  <c r="AC140" i="2"/>
  <c r="AC138" i="2"/>
  <c r="AC136" i="2"/>
  <c r="Z136" i="2"/>
  <c r="AC135" i="2"/>
  <c r="V133" i="2"/>
  <c r="AC15" i="2"/>
  <c r="Y15" i="2"/>
  <c r="Z138" i="2" s="1"/>
  <c r="AC13" i="2"/>
  <c r="Y11" i="2"/>
  <c r="Z135" i="2" s="1"/>
  <c r="B41" i="18"/>
  <c r="H45" i="18"/>
  <c r="G25" i="18"/>
  <c r="J25" i="18" s="1"/>
  <c r="J24" i="18"/>
  <c r="H44" i="18"/>
  <c r="J29" i="19" l="1"/>
  <c r="AA21" i="2"/>
  <c r="M18" i="10" l="1"/>
  <c r="L26" i="17"/>
  <c r="B26" i="17"/>
  <c r="F28" i="4" l="1"/>
  <c r="I98" i="2"/>
  <c r="S95" i="2"/>
  <c r="S94" i="2"/>
  <c r="S93" i="2"/>
  <c r="S92" i="2"/>
  <c r="S16" i="2"/>
  <c r="S14" i="2"/>
  <c r="N24" i="2" s="1"/>
  <c r="I97" i="2"/>
  <c r="I96" i="2"/>
  <c r="I95" i="2"/>
  <c r="I16" i="2"/>
  <c r="I14" i="2"/>
  <c r="E16" i="2"/>
  <c r="E12" i="2"/>
  <c r="G21" i="2" s="1"/>
  <c r="E19" i="15" l="1"/>
  <c r="B14" i="14"/>
  <c r="R50" i="13"/>
  <c r="K21" i="11"/>
  <c r="U38" i="10"/>
  <c r="B38" i="10"/>
  <c r="AE18" i="10"/>
  <c r="AF18" i="10" s="1"/>
  <c r="AE9" i="10"/>
  <c r="L9" i="10"/>
  <c r="B30" i="9"/>
  <c r="F24" i="9"/>
  <c r="F23" i="9"/>
  <c r="G22" i="9"/>
  <c r="F22" i="9"/>
  <c r="F21" i="9"/>
  <c r="F20" i="9"/>
  <c r="E20" i="9"/>
  <c r="H16" i="9"/>
  <c r="F16" i="9"/>
  <c r="D16" i="9"/>
  <c r="C15" i="9"/>
  <c r="G24" i="9" s="1"/>
  <c r="C14" i="9"/>
  <c r="G23" i="9" s="1"/>
  <c r="C12" i="9"/>
  <c r="G21" i="9" s="1"/>
  <c r="C11" i="9"/>
  <c r="G20" i="9" s="1"/>
  <c r="O12" i="7"/>
  <c r="C12" i="7"/>
  <c r="O11" i="7"/>
  <c r="C11" i="7"/>
  <c r="O10" i="7"/>
  <c r="C10" i="7"/>
  <c r="U6" i="7"/>
  <c r="W6" i="7" s="1"/>
  <c r="I6" i="7"/>
  <c r="K6" i="7" s="1"/>
  <c r="B28" i="6"/>
  <c r="B26" i="4"/>
  <c r="F40" i="3"/>
  <c r="P93" i="2"/>
  <c r="F96" i="2"/>
  <c r="F95" i="2"/>
  <c r="L90" i="2"/>
  <c r="B93" i="2"/>
  <c r="O12" i="2"/>
  <c r="O16" i="2" s="1"/>
  <c r="P94" i="2" s="1"/>
  <c r="H24" i="9" l="1"/>
  <c r="G25" i="9"/>
  <c r="E21" i="15"/>
  <c r="E23" i="15" s="1"/>
  <c r="C16" i="9"/>
  <c r="H23" i="9"/>
  <c r="H22" i="9"/>
  <c r="H21" i="9"/>
  <c r="H20" i="9"/>
  <c r="P92" i="2"/>
  <c r="F97" i="2"/>
  <c r="H25"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srnd</author>
  </authors>
  <commentList>
    <comment ref="B40" authorId="0" shapeId="0" xr:uid="{00000000-0006-0000-0000-000001000000}">
      <text>
        <r>
          <rPr>
            <b/>
            <sz val="10"/>
            <color indexed="14"/>
            <rFont val="맑은 고딕"/>
            <family val="3"/>
            <charset val="129"/>
          </rPr>
          <t>단가가 3백만원 이상, 동일 거래처 구매 총액이 2천만원 이하인 경우</t>
        </r>
      </text>
    </comment>
    <comment ref="B41" authorId="0" shapeId="0" xr:uid="{00000000-0006-0000-0000-000002000000}">
      <text>
        <r>
          <rPr>
            <b/>
            <sz val="10"/>
            <color indexed="14"/>
            <rFont val="맑은 고딕"/>
            <family val="3"/>
            <charset val="129"/>
          </rPr>
          <t xml:space="preserve">동일 거래처 구매 총액이 2천만원(부가세 제외) 초과인 경우
</t>
        </r>
        <r>
          <rPr>
            <sz val="9"/>
            <color indexed="81"/>
            <rFont val="Tahoma"/>
            <family val="2"/>
          </rPr>
          <t xml:space="preserve">
</t>
        </r>
      </text>
    </comment>
    <comment ref="B42" authorId="0" shapeId="0" xr:uid="{00000000-0006-0000-0000-000003000000}">
      <text>
        <r>
          <rPr>
            <b/>
            <sz val="10"/>
            <color indexed="14"/>
            <rFont val="맑은 고딕"/>
            <family val="3"/>
            <charset val="129"/>
          </rPr>
          <t>공개입찰로 물품을 구매하기 어려울 경우</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srnd</author>
  </authors>
  <commentList>
    <comment ref="B7" authorId="0" shapeId="0" xr:uid="{00000000-0006-0000-0400-000001000000}">
      <text>
        <r>
          <rPr>
            <b/>
            <sz val="10"/>
            <color indexed="81"/>
            <rFont val="돋움"/>
            <family val="3"/>
            <charset val="129"/>
          </rPr>
          <t>▼ 항목별 드롭다운 목록에서 선택
▼ 항목별 드롭다운 목록에서 선택</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B18" authorId="0" shapeId="0" xr:uid="{4BD3E166-2EEF-4033-A5E3-237829391479}">
      <text>
        <r>
          <rPr>
            <sz val="9"/>
            <color indexed="81"/>
            <rFont val="돋움"/>
            <family val="3"/>
            <charset val="129"/>
          </rPr>
          <t>회의일보다</t>
        </r>
        <r>
          <rPr>
            <sz val="9"/>
            <color indexed="81"/>
            <rFont val="Tahoma"/>
            <family val="2"/>
          </rPr>
          <t xml:space="preserve"> </t>
        </r>
        <r>
          <rPr>
            <sz val="9"/>
            <color indexed="81"/>
            <rFont val="돋움"/>
            <family val="3"/>
            <charset val="129"/>
          </rPr>
          <t>사전</t>
        </r>
        <r>
          <rPr>
            <sz val="9"/>
            <color indexed="81"/>
            <rFont val="Tahoma"/>
            <family val="2"/>
          </rPr>
          <t xml:space="preserve"> 
</t>
        </r>
        <r>
          <rPr>
            <sz val="9"/>
            <color indexed="81"/>
            <rFont val="돋움"/>
            <family val="3"/>
            <charset val="129"/>
          </rPr>
          <t>날짜로</t>
        </r>
        <r>
          <rPr>
            <sz val="9"/>
            <color indexed="81"/>
            <rFont val="Tahoma"/>
            <family val="2"/>
          </rPr>
          <t xml:space="preserve"> </t>
        </r>
        <r>
          <rPr>
            <sz val="9"/>
            <color indexed="81"/>
            <rFont val="돋움"/>
            <family val="3"/>
            <charset val="129"/>
          </rPr>
          <t>작성해야함</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user</author>
    <author>Windows User</author>
  </authors>
  <commentList>
    <comment ref="S15" authorId="0" shapeId="0" xr:uid="{00000000-0006-0000-0900-000001000000}">
      <text>
        <r>
          <rPr>
            <sz val="9"/>
            <color indexed="81"/>
            <rFont val="돋움"/>
            <family val="3"/>
            <charset val="129"/>
          </rPr>
          <t>가급적</t>
        </r>
        <r>
          <rPr>
            <sz val="9"/>
            <color indexed="81"/>
            <rFont val="Tahoma"/>
            <family val="2"/>
          </rPr>
          <t xml:space="preserve"> </t>
        </r>
        <r>
          <rPr>
            <sz val="9"/>
            <color indexed="81"/>
            <rFont val="돋움"/>
            <family val="3"/>
            <charset val="129"/>
          </rPr>
          <t>상세히</t>
        </r>
        <r>
          <rPr>
            <sz val="9"/>
            <color indexed="81"/>
            <rFont val="Tahoma"/>
            <family val="2"/>
          </rPr>
          <t xml:space="preserve"> </t>
        </r>
        <r>
          <rPr>
            <sz val="9"/>
            <color indexed="81"/>
            <rFont val="돋움"/>
            <family val="3"/>
            <charset val="129"/>
          </rPr>
          <t>작성</t>
        </r>
        <r>
          <rPr>
            <sz val="9"/>
            <color indexed="81"/>
            <rFont val="Tahoma"/>
            <family val="2"/>
          </rPr>
          <t xml:space="preserve">
</t>
        </r>
      </text>
    </comment>
    <comment ref="B24" authorId="1" shapeId="0" xr:uid="{00000000-0006-0000-0900-000002000000}">
      <text>
        <r>
          <rPr>
            <sz val="9"/>
            <color indexed="81"/>
            <rFont val="돋움"/>
            <family val="3"/>
            <charset val="129"/>
          </rPr>
          <t>출장일보다
사전</t>
        </r>
        <r>
          <rPr>
            <sz val="9"/>
            <color indexed="81"/>
            <rFont val="Tahoma"/>
            <family val="2"/>
          </rPr>
          <t xml:space="preserve"> </t>
        </r>
        <r>
          <rPr>
            <sz val="9"/>
            <color indexed="81"/>
            <rFont val="돋움"/>
            <family val="3"/>
            <charset val="129"/>
          </rPr>
          <t>날짜로</t>
        </r>
        <r>
          <rPr>
            <sz val="9"/>
            <color indexed="81"/>
            <rFont val="Tahoma"/>
            <family val="2"/>
          </rPr>
          <t xml:space="preserve"> </t>
        </r>
        <r>
          <rPr>
            <sz val="9"/>
            <color indexed="81"/>
            <rFont val="돋움"/>
            <family val="3"/>
            <charset val="129"/>
          </rPr>
          <t>작성</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B20" authorId="0" shapeId="0" xr:uid="{00000000-0006-0000-0C00-000001000000}">
      <text>
        <r>
          <rPr>
            <sz val="9"/>
            <color indexed="81"/>
            <rFont val="돋움"/>
            <family val="3"/>
            <charset val="129"/>
          </rPr>
          <t>회의일보다</t>
        </r>
        <r>
          <rPr>
            <sz val="9"/>
            <color indexed="81"/>
            <rFont val="Tahoma"/>
            <family val="2"/>
          </rPr>
          <t xml:space="preserve"> </t>
        </r>
        <r>
          <rPr>
            <sz val="9"/>
            <color indexed="81"/>
            <rFont val="돋움"/>
            <family val="3"/>
            <charset val="129"/>
          </rPr>
          <t>사전</t>
        </r>
        <r>
          <rPr>
            <sz val="9"/>
            <color indexed="81"/>
            <rFont val="Tahoma"/>
            <family val="2"/>
          </rPr>
          <t xml:space="preserve"> 
</t>
        </r>
        <r>
          <rPr>
            <sz val="9"/>
            <color indexed="81"/>
            <rFont val="돋움"/>
            <family val="3"/>
            <charset val="129"/>
          </rPr>
          <t>날짜로</t>
        </r>
        <r>
          <rPr>
            <sz val="9"/>
            <color indexed="81"/>
            <rFont val="Tahoma"/>
            <family val="2"/>
          </rPr>
          <t xml:space="preserve"> </t>
        </r>
        <r>
          <rPr>
            <sz val="9"/>
            <color indexed="81"/>
            <rFont val="돋움"/>
            <family val="3"/>
            <charset val="129"/>
          </rPr>
          <t>작성해야함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srnd</author>
  </authors>
  <commentList>
    <comment ref="A2" authorId="0" shapeId="0" xr:uid="{00000000-0006-0000-0E00-000001000000}">
      <text>
        <r>
          <rPr>
            <b/>
            <sz val="11"/>
            <color indexed="10"/>
            <rFont val="맑은 고딕"/>
            <family val="3"/>
            <charset val="129"/>
          </rPr>
          <t xml:space="preserve">※ USD, JPY, EUR를 제외한 기타 통화는 반드시 </t>
        </r>
        <r>
          <rPr>
            <b/>
            <u/>
            <sz val="14"/>
            <color indexed="10"/>
            <rFont val="맑은 고딕"/>
            <family val="3"/>
            <charset val="129"/>
          </rPr>
          <t>당일 오후 3시 30분까지</t>
        </r>
        <r>
          <rPr>
            <b/>
            <sz val="11"/>
            <color indexed="10"/>
            <rFont val="맑은 고딕"/>
            <family val="3"/>
            <charset val="129"/>
          </rPr>
          <t xml:space="preserve"> 결제금액 이체를 완료해야 합니다.</t>
        </r>
        <r>
          <rPr>
            <sz val="9"/>
            <color indexed="81"/>
            <rFont val="Tahoma"/>
            <family val="2"/>
          </rPr>
          <t xml:space="preserve">
</t>
        </r>
      </text>
    </comment>
    <comment ref="C26" authorId="0" shapeId="0" xr:uid="{00000000-0006-0000-0E00-000002000000}">
      <text>
        <r>
          <rPr>
            <b/>
            <sz val="9"/>
            <color indexed="81"/>
            <rFont val="Tahoma"/>
            <family val="2"/>
          </rPr>
          <t>SWIFT BIC(SWIFT CODE)</t>
        </r>
        <r>
          <rPr>
            <sz val="9"/>
            <color indexed="81"/>
            <rFont val="Tahoma"/>
            <family val="2"/>
          </rPr>
          <t xml:space="preserve">: </t>
        </r>
        <r>
          <rPr>
            <sz val="9"/>
            <color indexed="81"/>
            <rFont val="돋움"/>
            <family val="3"/>
            <charset val="129"/>
          </rPr>
          <t>국제적으로</t>
        </r>
        <r>
          <rPr>
            <sz val="9"/>
            <color indexed="81"/>
            <rFont val="Tahoma"/>
            <family val="2"/>
          </rPr>
          <t xml:space="preserve"> </t>
        </r>
        <r>
          <rPr>
            <sz val="9"/>
            <color indexed="81"/>
            <rFont val="돋움"/>
            <family val="3"/>
            <charset val="129"/>
          </rPr>
          <t>사용되는</t>
        </r>
        <r>
          <rPr>
            <sz val="9"/>
            <color indexed="81"/>
            <rFont val="Tahoma"/>
            <family val="2"/>
          </rPr>
          <t xml:space="preserve"> </t>
        </r>
        <r>
          <rPr>
            <sz val="9"/>
            <color indexed="81"/>
            <rFont val="돋움"/>
            <family val="3"/>
            <charset val="129"/>
          </rPr>
          <t>은행</t>
        </r>
        <r>
          <rPr>
            <sz val="9"/>
            <color indexed="81"/>
            <rFont val="Tahoma"/>
            <family val="2"/>
          </rPr>
          <t xml:space="preserve"> </t>
        </r>
        <r>
          <rPr>
            <sz val="9"/>
            <color indexed="81"/>
            <rFont val="돋움"/>
            <family val="3"/>
            <charset val="129"/>
          </rPr>
          <t>식별코드</t>
        </r>
        <r>
          <rPr>
            <sz val="9"/>
            <color indexed="81"/>
            <rFont val="Tahoma"/>
            <family val="2"/>
          </rPr>
          <t xml:space="preserve">
</t>
        </r>
      </text>
    </comment>
    <comment ref="Q29" authorId="0" shapeId="0" xr:uid="{00000000-0006-0000-0E00-000003000000}">
      <text>
        <r>
          <rPr>
            <b/>
            <sz val="9"/>
            <color indexed="81"/>
            <rFont val="돋움"/>
            <family val="3"/>
            <charset val="129"/>
          </rPr>
          <t>해외학회</t>
        </r>
        <r>
          <rPr>
            <b/>
            <sz val="9"/>
            <color indexed="81"/>
            <rFont val="Tahoma"/>
            <family val="2"/>
          </rPr>
          <t xml:space="preserve"> </t>
        </r>
        <r>
          <rPr>
            <b/>
            <sz val="9"/>
            <color indexed="81"/>
            <rFont val="돋움"/>
            <family val="3"/>
            <charset val="129"/>
          </rPr>
          <t>참가비</t>
        </r>
        <r>
          <rPr>
            <b/>
            <sz val="9"/>
            <color indexed="81"/>
            <rFont val="Tahoma"/>
            <family val="2"/>
          </rPr>
          <t xml:space="preserve"> </t>
        </r>
        <r>
          <rPr>
            <b/>
            <sz val="9"/>
            <color indexed="81"/>
            <rFont val="돋움"/>
            <family val="3"/>
            <charset val="129"/>
          </rPr>
          <t>송금</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참가자</t>
        </r>
        <r>
          <rPr>
            <b/>
            <sz val="9"/>
            <color indexed="81"/>
            <rFont val="Tahoma"/>
            <family val="2"/>
          </rPr>
          <t xml:space="preserve"> </t>
        </r>
        <r>
          <rPr>
            <b/>
            <sz val="9"/>
            <color indexed="81"/>
            <rFont val="돋움"/>
            <family val="3"/>
            <charset val="129"/>
          </rPr>
          <t>인적사항</t>
        </r>
        <r>
          <rPr>
            <b/>
            <sz val="9"/>
            <color indexed="81"/>
            <rFont val="Tahoma"/>
            <family val="2"/>
          </rPr>
          <t xml:space="preserve"> </t>
        </r>
        <r>
          <rPr>
            <b/>
            <sz val="9"/>
            <color indexed="81"/>
            <rFont val="돋움"/>
            <family val="3"/>
            <charset val="129"/>
          </rPr>
          <t>등은</t>
        </r>
        <r>
          <rPr>
            <b/>
            <sz val="9"/>
            <color indexed="81"/>
            <rFont val="Tahoma"/>
            <family val="2"/>
          </rPr>
          <t xml:space="preserve"> </t>
        </r>
        <r>
          <rPr>
            <b/>
            <sz val="9"/>
            <color indexed="81"/>
            <rFont val="돋움"/>
            <family val="3"/>
            <charset val="129"/>
          </rPr>
          <t>이곳에</t>
        </r>
        <r>
          <rPr>
            <b/>
            <sz val="9"/>
            <color indexed="81"/>
            <rFont val="Tahoma"/>
            <family val="2"/>
          </rPr>
          <t xml:space="preserve"> </t>
        </r>
        <r>
          <rPr>
            <b/>
            <sz val="9"/>
            <color indexed="81"/>
            <rFont val="돋움"/>
            <family val="3"/>
            <charset val="129"/>
          </rPr>
          <t>기재</t>
        </r>
        <r>
          <rPr>
            <sz val="9"/>
            <color indexed="81"/>
            <rFont val="Tahoma"/>
            <family val="2"/>
          </rPr>
          <t xml:space="preserve">
</t>
        </r>
      </text>
    </comment>
  </commentList>
</comments>
</file>

<file path=xl/sharedStrings.xml><?xml version="1.0" encoding="utf-8"?>
<sst xmlns="http://schemas.openxmlformats.org/spreadsheetml/2006/main" count="2521" uniqueCount="1628">
  <si>
    <t>인건비 · 학생인건비</t>
    <phoneticPr fontId="4" type="noConversion"/>
  </si>
  <si>
    <t>■ 청구 절차</t>
    <phoneticPr fontId="4" type="noConversion"/>
  </si>
  <si>
    <t>■ 등록 및 변경 시 제출서류</t>
    <phoneticPr fontId="4" type="noConversion"/>
  </si>
  <si>
    <t>구분</t>
    <phoneticPr fontId="4" type="noConversion"/>
  </si>
  <si>
    <t>제출서류</t>
    <phoneticPr fontId="4" type="noConversion"/>
  </si>
  <si>
    <t>서식</t>
    <phoneticPr fontId="4" type="noConversion"/>
  </si>
  <si>
    <t>소속이 없는 경우</t>
    <phoneticPr fontId="4" type="noConversion"/>
  </si>
  <si>
    <t>서식 바로가기</t>
    <phoneticPr fontId="4" type="noConversion"/>
  </si>
  <si>
    <t>고용계약서</t>
    <phoneticPr fontId="4" type="noConversion"/>
  </si>
  <si>
    <t>과제참여계약서</t>
    <phoneticPr fontId="4" type="noConversion"/>
  </si>
  <si>
    <t>1개월 이상 과제 참여 시</t>
    <phoneticPr fontId="4" type="noConversion"/>
  </si>
  <si>
    <t>프리랜서 또는 개인사업자</t>
    <phoneticPr fontId="4" type="noConversion"/>
  </si>
  <si>
    <t>연구시설·장비, 연구재료비</t>
    <phoneticPr fontId="4" type="noConversion"/>
  </si>
  <si>
    <t>■ 청구 시 제출서류</t>
    <phoneticPr fontId="4" type="noConversion"/>
  </si>
  <si>
    <t>재량구매</t>
    <phoneticPr fontId="4" type="noConversion"/>
  </si>
  <si>
    <t>기타지급 사용내역서</t>
    <phoneticPr fontId="4" type="noConversion"/>
  </si>
  <si>
    <t>SRnD 사용내역서 출력</t>
    <phoneticPr fontId="4" type="noConversion"/>
  </si>
  <si>
    <t>여비</t>
    <phoneticPr fontId="4" type="noConversion"/>
  </si>
  <si>
    <t>여비 사용내역서</t>
    <phoneticPr fontId="4" type="noConversion"/>
  </si>
  <si>
    <t>국내·외 출장신청(명령)서</t>
    <phoneticPr fontId="4" type="noConversion"/>
  </si>
  <si>
    <t>국내·외 출장결과보고서</t>
    <phoneticPr fontId="4" type="noConversion"/>
  </si>
  <si>
    <t>출입국증명서</t>
    <phoneticPr fontId="4" type="noConversion"/>
  </si>
  <si>
    <t>기타 증빙서류</t>
    <phoneticPr fontId="4" type="noConversion"/>
  </si>
  <si>
    <t>인터넷 발급 바로가기</t>
    <phoneticPr fontId="4" type="noConversion"/>
  </si>
  <si>
    <t>국내(시내/시외)
국외</t>
    <phoneticPr fontId="4" type="noConversion"/>
  </si>
  <si>
    <t>공통</t>
    <phoneticPr fontId="4" type="noConversion"/>
  </si>
  <si>
    <t>회의비</t>
    <phoneticPr fontId="4" type="noConversion"/>
  </si>
  <si>
    <t>(해당 시)</t>
    <phoneticPr fontId="4" type="noConversion"/>
  </si>
  <si>
    <t>(지원기관 요청 시)</t>
    <phoneticPr fontId="4" type="noConversion"/>
  </si>
  <si>
    <t>회의록</t>
    <phoneticPr fontId="4" type="noConversion"/>
  </si>
  <si>
    <t>참석자 서명부</t>
    <phoneticPr fontId="4" type="noConversion"/>
  </si>
  <si>
    <t>연구수당</t>
    <phoneticPr fontId="4" type="noConversion"/>
  </si>
  <si>
    <t>연구수당 사용내역서</t>
    <phoneticPr fontId="4" type="noConversion"/>
  </si>
  <si>
    <t>기여도평가서 및 지급신청서</t>
    <phoneticPr fontId="4" type="noConversion"/>
  </si>
  <si>
    <t>식대</t>
    <phoneticPr fontId="4" type="noConversion"/>
  </si>
  <si>
    <t>식대 사용내역서(초과근무확인대장)</t>
    <phoneticPr fontId="4" type="noConversion"/>
  </si>
  <si>
    <t>전문가활용비</t>
    <phoneticPr fontId="4" type="noConversion"/>
  </si>
  <si>
    <t>전문가활용비 사용내역서</t>
    <phoneticPr fontId="4" type="noConversion"/>
  </si>
  <si>
    <t>회의수당, 강사료, 자문료 등</t>
    <phoneticPr fontId="4" type="noConversion"/>
  </si>
  <si>
    <t>도서사용내역서</t>
    <phoneticPr fontId="4" type="noConversion"/>
  </si>
  <si>
    <t>행사개최내역서</t>
    <phoneticPr fontId="4" type="noConversion"/>
  </si>
  <si>
    <t>확인서</t>
    <phoneticPr fontId="4" type="noConversion"/>
  </si>
  <si>
    <t>간접비 계산식</t>
    <phoneticPr fontId="4" type="noConversion"/>
  </si>
  <si>
    <t>서식명</t>
    <phoneticPr fontId="4" type="noConversion"/>
  </si>
  <si>
    <t>고용계약서 / 과제참여계약서</t>
    <phoneticPr fontId="4" type="noConversion"/>
  </si>
  <si>
    <t>Sheet No.</t>
    <phoneticPr fontId="4" type="noConversion"/>
  </si>
  <si>
    <t>※ 기관별 자체 고용계약서 사용 가능</t>
    <phoneticPr fontId="4" type="noConversion"/>
  </si>
  <si>
    <t>서울대학교 연구과제 참여계약서
(기타소득자용)</t>
    <phoneticPr fontId="4" type="noConversion"/>
  </si>
  <si>
    <t xml:space="preserve">서울대학교 </t>
    <phoneticPr fontId="4" type="noConversion"/>
  </si>
  <si>
    <t>○○○○○</t>
    <phoneticPr fontId="4" type="noConversion"/>
  </si>
  <si>
    <t>의 장을 "갑"으로 하며, 연구책임자</t>
    <phoneticPr fontId="4" type="noConversion"/>
  </si>
  <si>
    <t>○○○</t>
    <phoneticPr fontId="4" type="noConversion"/>
  </si>
  <si>
    <t>을 "을"로 하고,</t>
    <phoneticPr fontId="4" type="noConversion"/>
  </si>
  <si>
    <t>을 "병"으로 하여 상호간의 합의에 따라 아래와 같이 고용 계약을 체결하고</t>
    <phoneticPr fontId="4" type="noConversion"/>
  </si>
  <si>
    <t>을 "병"으로 하여 상호간의 합의에 따라 아래와 같이 과제참여 계약을 체결하고</t>
    <phoneticPr fontId="4" type="noConversion"/>
  </si>
  <si>
    <t>이를 신의와 성실로서 준수할 것을 확약한다.</t>
    <phoneticPr fontId="4" type="noConversion"/>
  </si>
  <si>
    <t xml:space="preserve">제1조 (계약당사자) </t>
  </si>
  <si>
    <t>갑
(고용기관장)</t>
    <phoneticPr fontId="4" type="noConversion"/>
  </si>
  <si>
    <t xml:space="preserve">서울대학교 </t>
  </si>
  <si>
    <t>성명</t>
  </si>
  <si>
    <t>갑
(관리기관장)</t>
    <phoneticPr fontId="4" type="noConversion"/>
  </si>
  <si>
    <t>주소</t>
  </si>
  <si>
    <t>을
(연구책임자)</t>
    <phoneticPr fontId="4" type="noConversion"/>
  </si>
  <si>
    <t>서울대학교</t>
  </si>
  <si>
    <t xml:space="preserve">  </t>
  </si>
  <si>
    <t>전화번호</t>
  </si>
  <si>
    <t>주민등록번호</t>
  </si>
  <si>
    <t>제2조(직급 및 근무처)</t>
  </si>
  <si>
    <t>제2조(직급 및 참여과제)</t>
    <phoneticPr fontId="4" type="noConversion"/>
  </si>
  <si>
    <t>“병”의 직급은</t>
    <phoneticPr fontId="4" type="noConversion"/>
  </si>
  <si>
    <t xml:space="preserve"> 으로 하며,</t>
    <phoneticPr fontId="4" type="noConversion"/>
  </si>
  <si>
    <t xml:space="preserve"> 서울대학교</t>
    <phoneticPr fontId="4" type="noConversion"/>
  </si>
  <si>
    <t xml:space="preserve">에 근무한다. </t>
    <phoneticPr fontId="4" type="noConversion"/>
  </si>
  <si>
    <t>아래 과제에 참여한다.</t>
    <phoneticPr fontId="4" type="noConversion"/>
  </si>
  <si>
    <t>(다만, 업무상 필요가 있을 경우 근무지는 변경될 수 있다.)</t>
    <phoneticPr fontId="4" type="noConversion"/>
  </si>
  <si>
    <t>SRnD 과제번호</t>
    <phoneticPr fontId="4" type="noConversion"/>
  </si>
  <si>
    <t>지원기관</t>
    <phoneticPr fontId="4" type="noConversion"/>
  </si>
  <si>
    <t>제3조(계약기간 및 근로 조건)</t>
  </si>
  <si>
    <t>연구책임자</t>
    <phoneticPr fontId="4" type="noConversion"/>
  </si>
  <si>
    <t>연구기간</t>
    <phoneticPr fontId="4" type="noConversion"/>
  </si>
  <si>
    <t>① “병”의 계약기간은</t>
    <phoneticPr fontId="4" type="noConversion"/>
  </si>
  <si>
    <t>부터</t>
    <phoneticPr fontId="4" type="noConversion"/>
  </si>
  <si>
    <t>까지로 한다.</t>
    <phoneticPr fontId="4" type="noConversion"/>
  </si>
  <si>
    <t>연구과제명</t>
    <phoneticPr fontId="4" type="noConversion"/>
  </si>
  <si>
    <t>- 소정 근로 시간 :</t>
    <phoneticPr fontId="4" type="noConversion"/>
  </si>
  <si>
    <t>까지</t>
    <phoneticPr fontId="4" type="noConversion"/>
  </si>
  <si>
    <t>- 근무일/휴일 :  주</t>
    <phoneticPr fontId="4" type="noConversion"/>
  </si>
  <si>
    <t>요일</t>
    <phoneticPr fontId="4" type="noConversion"/>
  </si>
  <si>
    <t>제4조(“갑”의 의무)</t>
  </si>
  <si>
    <t>- 급여:</t>
    <phoneticPr fontId="4" type="noConversion"/>
  </si>
  <si>
    <t>월급</t>
  </si>
  <si>
    <t>원</t>
    <phoneticPr fontId="4" type="noConversion"/>
  </si>
  <si>
    <t>① “갑”은 “병”의 인건비를 참여 계약기간 내에 총</t>
    <phoneticPr fontId="4" type="noConversion"/>
  </si>
  <si>
    <t xml:space="preserve">원 기준으로 “병”에게 갑이 정한 인건비 지급일에 기타소득세를 </t>
    <phoneticPr fontId="4" type="noConversion"/>
  </si>
  <si>
    <t>(임금은 계약일 당시 책정된 연구비의 규모에 따른 것이며, 연구비 지원금액의 변경에 따라 증감 할 수 있다.)</t>
    <phoneticPr fontId="4" type="noConversion"/>
  </si>
  <si>
    <t>원천징수 후 지급한다.</t>
    <phoneticPr fontId="4" type="noConversion"/>
  </si>
  <si>
    <t>- 지급방법 : 예금통장에 입금</t>
  </si>
  <si>
    <t>- 연차유급휴가 : 근로기준법에서 정하는 바에 따라 부여함</t>
  </si>
  <si>
    <t>③ “병”의 퇴직금은 지급하지 않는다.</t>
    <phoneticPr fontId="4" type="noConversion"/>
  </si>
  <si>
    <t>제5조 (“병”의 의무)</t>
  </si>
  <si>
    <t>① 과제별 지급내역은 서울대학교 연구행정통합관리시스템에서 발급되는 “참여연구원 확인서”로 갈음한다.</t>
    <phoneticPr fontId="4" type="noConversion"/>
  </si>
  <si>
    <t>① “병”은 본 계약서 제 3 조에 정한 기간 동안 “갑”이 지정하는 연구업무를 충실히 이행하여야 한다.</t>
    <phoneticPr fontId="4" type="noConversion"/>
  </si>
  <si>
    <t>② “병”은 참여 계약 중 직무와 관련하여 취득한 각종 비밀을 참여 계약 중 또는 참여계약 종료 후에도 누설하여서는 아니 된다.</t>
    <phoneticPr fontId="4" type="noConversion"/>
  </si>
  <si>
    <t>원천징수 후 지급한다.</t>
  </si>
  <si>
    <t>③ “병”은 본 계약서 제 3 조에 정한 기간 동안 연구업무를 수행함으로 인하여 발생한 연구결과를 “갑”에게 귀속시켜야 한다.</t>
    <phoneticPr fontId="4" type="noConversion"/>
  </si>
  <si>
    <t>①  본인은 본 연구과제에 참여함에 있어 제반 보안관계 규정 및 지침을 성실히 수행한다.</t>
    <phoneticPr fontId="4" type="noConversion"/>
  </si>
  <si>
    <t>① “병”은 본 계약서에 정한 기간 동안 “갑”이 지정하는 연구업무를 충실히 이행하여야 한다.</t>
    <phoneticPr fontId="4" type="noConversion"/>
  </si>
  <si>
    <t>② “병”은 연구 정보를 누설함이 법률위반행위가 됨을 명심하고 재직 중은 물론 퇴직 후에도 알게 된 모든 기밀 사항을 일체 타인</t>
    <phoneticPr fontId="4" type="noConversion"/>
  </si>
  <si>
    <t>에게 누설하지 아니하여야 한다.</t>
    <phoneticPr fontId="4" type="noConversion"/>
  </si>
  <si>
    <t>③ “병”은 본 계약서에서 정한 기간 동안 연구업무를 수행함으로 인하여 발생한 연구결과를 “갑”에게 귀속시켜야 한다.</t>
    <phoneticPr fontId="4" type="noConversion"/>
  </si>
  <si>
    <t xml:space="preserve">③ “병”은 관계법규와 학칙을 준수하며, 연구과제에 대한 정보를 누설한 때에는 아래의 관계법규와 학칙에 따라 엄중한 처벌과 </t>
    <phoneticPr fontId="4" type="noConversion"/>
  </si>
  <si>
    <t>징계를 받을 것을 서약한다.</t>
    <phoneticPr fontId="4" type="noConversion"/>
  </si>
  <si>
    <t>그 이용, 그리고 제 3자에 대한 제공에 동의하는 경우에 본 계약서의 개인정보 제공, 활용 및 제3자 제공 동의 서명란에 서명 또는</t>
    <phoneticPr fontId="4" type="noConversion"/>
  </si>
  <si>
    <t>날인하여야 한다.</t>
    <phoneticPr fontId="4" type="noConversion"/>
  </si>
  <si>
    <t>① “병”의 개인정보 제공 및 이용에 대한 동의</t>
    <phoneticPr fontId="4" type="noConversion"/>
  </si>
  <si>
    <t xml:space="preserve"> 1. “갑”은 연구관리 용도로 “병”의 개인정보(고유식별정보 포함)를 보유한다.</t>
    <phoneticPr fontId="4" type="noConversion"/>
  </si>
  <si>
    <t>3. “병”은 자신의 개인정보(고유식별정보 포함) 수집에 동의하지 않을 수 있으나, 이 경우 인건비 및 수당지급이 제한될 수 있다.</t>
    <phoneticPr fontId="4" type="noConversion"/>
  </si>
  <si>
    <t>② “병”의 개인정보 제 3자 제공에 대한 동의</t>
    <phoneticPr fontId="4" type="noConversion"/>
  </si>
  <si>
    <t xml:space="preserve"> 1. “갑”은 원칙적으로 “병”의 개인정보를 제1항의 개인정보의 수집·이용 목적에서 명시한 범위 내에서 처리하며, “병”의 사전 동의</t>
    <phoneticPr fontId="4" type="noConversion"/>
  </si>
  <si>
    <t xml:space="preserve"> 없이는 본래의 범위를 초과하여 처리하거나 제3자에게 제공하지 않는다. 단, 다음의 경우에는 개인정보를 제공할 수 있다.</t>
    <phoneticPr fontId="4" type="noConversion"/>
  </si>
  <si>
    <t xml:space="preserve">     곤란한 경우</t>
    <phoneticPr fontId="4" type="noConversion"/>
  </si>
  <si>
    <t>제8조 (계약해지)</t>
    <phoneticPr fontId="4" type="noConversion"/>
  </si>
  <si>
    <t xml:space="preserve">① “병”이 다음 각 호의 어느 하나에 해당할 경우 “갑”은 서면 통지로 “병”과의 참여계약을 해지할 수 있다. </t>
    <phoneticPr fontId="4" type="noConversion"/>
  </si>
  <si>
    <t>1. 본 참여계약을 위반하는 경우</t>
    <phoneticPr fontId="4" type="noConversion"/>
  </si>
  <si>
    <t>2. 질병, 실종 또는 형사소추 등으로 연구업무 수행이 불가능한 경우</t>
  </si>
  <si>
    <t>3. 연구업무를 성실히 준수하지 아니하는 경우</t>
  </si>
  <si>
    <t xml:space="preserve">① “병”이 다음 각 호의 어느 하나에 해당할 경우 “갑”은 서면 통지로 “병”과의 근로계약을 해지할 수 있다. </t>
    <phoneticPr fontId="4" type="noConversion"/>
  </si>
  <si>
    <t xml:space="preserve">② 연구비 지원기관으로부터 연구비 지원이 중단되거나 연구비 지원 금액의 규모가 변경된 경우 “갑”은 “병”과의 참여 계약을 </t>
    <phoneticPr fontId="4" type="noConversion"/>
  </si>
  <si>
    <t>1. 본 근로계약을 위반하는 경우</t>
  </si>
  <si>
    <t xml:space="preserve">해지 또는 계약 내용의 일부를 변경할 수 있으며, “병”은 이에 따른다.  </t>
    <phoneticPr fontId="4" type="noConversion"/>
  </si>
  <si>
    <t xml:space="preserve"> “병”은 이에 따른다.  </t>
    <phoneticPr fontId="4" type="noConversion"/>
  </si>
  <si>
    <t>제9조 (기타사항)</t>
    <phoneticPr fontId="4" type="noConversion"/>
  </si>
  <si>
    <t>② 연구비 지원기관으로부터 연구비 지원이 중단되거나, 연구비 지원규모 변경 등에 따라 근로 조건이 변경 될 수 있다.</t>
    <phoneticPr fontId="4" type="noConversion"/>
  </si>
  <si>
    <t>① 본 계약서에 규정되지 않은 사항은 “갑”과 “병”이 합의하여 정하되 합의가 되지 않을 경우 “갑”이 정하는 바에 따른다.</t>
    <phoneticPr fontId="4" type="noConversion"/>
  </si>
  <si>
    <t xml:space="preserve">② 본 계약은 고용관계에 의한 계약이 아닌 연구과제 참여에 의한 연구과제 참여계약이므로 근로기준법 등 근로관계 법령이 </t>
    <phoneticPr fontId="4" type="noConversion"/>
  </si>
  <si>
    <t>① 퇴직금은 근로자퇴직급여보장법에 따라 지급한다.</t>
  </si>
  <si>
    <t>정하는 바에 따르지 않는다.</t>
    <phoneticPr fontId="4" type="noConversion"/>
  </si>
  <si>
    <t>② 본 계약서에 규정되지 않은 사항은 ｢근로기준법｣ 등 근로관계 법령이 정하는 바에 따른다.</t>
  </si>
  <si>
    <t>각각 1통씩 보관한다.</t>
    <phoneticPr fontId="4" type="noConversion"/>
  </si>
  <si>
    <t>상기 사항에 동의하고 날인합니다.</t>
  </si>
  <si>
    <t>(갑)</t>
    <phoneticPr fontId="4" type="noConversion"/>
  </si>
  <si>
    <t>기관장</t>
    <phoneticPr fontId="4" type="noConversion"/>
  </si>
  <si>
    <t>서울대학교</t>
    <phoneticPr fontId="4" type="noConversion"/>
  </si>
  <si>
    <t>(인)</t>
  </si>
  <si>
    <t>(을)</t>
    <phoneticPr fontId="4" type="noConversion"/>
  </si>
  <si>
    <t>(인)</t>
    <phoneticPr fontId="4" type="noConversion"/>
  </si>
  <si>
    <t>(병)</t>
    <phoneticPr fontId="4" type="noConversion"/>
  </si>
  <si>
    <t>[국문]</t>
    <phoneticPr fontId="4" type="noConversion"/>
  </si>
  <si>
    <t>[영문]</t>
    <phoneticPr fontId="4" type="noConversion"/>
  </si>
  <si>
    <t>3. 본인은 관계법규와 학칙을 준수하며, 연구과제에 대한 정보를 누설한 때에는 아래의 관계법규와 학칙에 따라 엄중한 처벌과</t>
    <phoneticPr fontId="4" type="noConversion"/>
  </si>
  <si>
    <t xml:space="preserve">   징계를 받을 것을 서약한다.</t>
    <phoneticPr fontId="4" type="noConversion"/>
  </si>
  <si>
    <t>▶ 서울대학교 산학협력단에서는 연구관리 용도로 개인정보(고유식별정보 포함)를 보유하고 있습니다.</t>
    <phoneticPr fontId="4" type="noConversion"/>
  </si>
  <si>
    <r>
      <rPr>
        <sz val="10"/>
        <color theme="1"/>
        <rFont val="Segoe UI Symbol"/>
        <family val="2"/>
      </rPr>
      <t xml:space="preserve">  ▪</t>
    </r>
    <r>
      <rPr>
        <sz val="10"/>
        <color theme="1"/>
        <rFont val="맑은 고딕"/>
        <family val="2"/>
        <charset val="129"/>
        <scheme val="minor"/>
      </rPr>
      <t xml:space="preserve"> 필수정보 : 성명, 소속, 직위, 계좌번호, 주민등록번호(고유식별정보), 국적, 전화, 이메일</t>
    </r>
    <phoneticPr fontId="4" type="noConversion"/>
  </si>
  <si>
    <t>Agree</t>
    <phoneticPr fontId="4" type="noConversion"/>
  </si>
  <si>
    <t>Disagree</t>
    <phoneticPr fontId="4" type="noConversion"/>
  </si>
  <si>
    <t>▶ 개인정보(고유식별정보 포함) 수집에 동의하지 않을 수 있으나, 이 경우 인건비 및 수당지급이 제한될 수 있습니다.</t>
    <phoneticPr fontId="4" type="noConversion"/>
  </si>
  <si>
    <t>○ 개인정보 수집 및 이용에 동의하십니까?</t>
    <phoneticPr fontId="4" type="noConversion"/>
  </si>
  <si>
    <t>동의함</t>
    <phoneticPr fontId="4" type="noConversion"/>
  </si>
  <si>
    <t>동의하지 않음</t>
    <phoneticPr fontId="4" type="noConversion"/>
  </si>
  <si>
    <t>○ 고유식별정보 수집 및 이용에 동의하십니까?</t>
    <phoneticPr fontId="4" type="noConversion"/>
  </si>
  <si>
    <t>○ 개인정보의 제3자 제공에 동의하십니까?</t>
    <phoneticPr fontId="4" type="noConversion"/>
  </si>
  <si>
    <t>Nationality:</t>
    <phoneticPr fontId="4" type="noConversion"/>
  </si>
  <si>
    <t>Position:</t>
    <phoneticPr fontId="4" type="noConversion"/>
  </si>
  <si>
    <t>Passport No.</t>
    <phoneticPr fontId="4" type="noConversion"/>
  </si>
  <si>
    <t>Name:</t>
    <phoneticPr fontId="4" type="noConversion"/>
  </si>
  <si>
    <t>Signiture:</t>
    <phoneticPr fontId="4" type="noConversion"/>
  </si>
  <si>
    <t>□ 과제 현황</t>
    <phoneticPr fontId="4" type="noConversion"/>
  </si>
  <si>
    <t>지원기관</t>
  </si>
  <si>
    <t>지원사업명</t>
  </si>
  <si>
    <t>서울대학교산학협력단</t>
    <phoneticPr fontId="4" type="noConversion"/>
  </si>
  <si>
    <t>과제명</t>
  </si>
  <si>
    <t>연구기간</t>
  </si>
  <si>
    <t>연구비</t>
  </si>
  <si>
    <t>생년월일</t>
  </si>
  <si>
    <t>소속</t>
  </si>
  <si>
    <t>직급</t>
  </si>
  <si>
    <t>참여기간</t>
  </si>
  <si>
    <t>지급
구분</t>
    <phoneticPr fontId="4" type="noConversion"/>
  </si>
  <si>
    <t>월기준
금액(원)</t>
    <phoneticPr fontId="4" type="noConversion"/>
  </si>
  <si>
    <t>월지급
예정액(원)</t>
    <phoneticPr fontId="4" type="noConversion"/>
  </si>
  <si>
    <t>이메일</t>
  </si>
  <si>
    <t>휴대폰번호</t>
  </si>
  <si>
    <t>지급</t>
  </si>
  <si>
    <t>~</t>
    <phoneticPr fontId="4" type="noConversion"/>
  </si>
  <si>
    <t>소속기관장 :</t>
    <phoneticPr fontId="4" type="noConversion"/>
  </si>
  <si>
    <t xml:space="preserve">산학협력단장 </t>
    <phoneticPr fontId="4" type="noConversion"/>
  </si>
  <si>
    <t>(직인)</t>
  </si>
  <si>
    <t>서울대학교산학협력단장 귀하</t>
    <phoneticPr fontId="4" type="noConversion"/>
  </si>
  <si>
    <t>성명</t>
    <phoneticPr fontId="4" type="noConversion"/>
  </si>
  <si>
    <t>직급</t>
    <phoneticPr fontId="4" type="noConversion"/>
  </si>
  <si>
    <t>소속</t>
    <phoneticPr fontId="4" type="noConversion"/>
  </si>
  <si>
    <t>E-mail</t>
    <phoneticPr fontId="4" type="noConversion"/>
  </si>
  <si>
    <t>주소</t>
    <phoneticPr fontId="4" type="noConversion"/>
  </si>
  <si>
    <t>서울시 관악구 봉천로 1</t>
    <phoneticPr fontId="4" type="noConversion"/>
  </si>
  <si>
    <t>용도 설명서</t>
    <phoneticPr fontId="21" type="noConversion"/>
  </si>
  <si>
    <t>1. 품         명</t>
    <phoneticPr fontId="21" type="noConversion"/>
  </si>
  <si>
    <t>(영문)</t>
    <phoneticPr fontId="21" type="noConversion"/>
  </si>
  <si>
    <t>품목번호
Item No.</t>
    <phoneticPr fontId="21" type="noConversion"/>
  </si>
  <si>
    <t>관세분류번호
HSK No.</t>
    <phoneticPr fontId="21" type="noConversion"/>
  </si>
  <si>
    <t>정부물품분류번호(8자리)
Korean Government Commodity Classification Code(eight-digit)</t>
    <phoneticPr fontId="21" type="noConversion"/>
  </si>
  <si>
    <t>품 명
Description</t>
    <phoneticPr fontId="21" type="noConversion"/>
  </si>
  <si>
    <t>단위
Unit</t>
    <phoneticPr fontId="21" type="noConversion"/>
  </si>
  <si>
    <t>수량
Q'ty</t>
    <phoneticPr fontId="21" type="noConversion"/>
  </si>
  <si>
    <t>관세분류번호 찾기</t>
    <phoneticPr fontId="4" type="noConversion"/>
  </si>
  <si>
    <t>연구책임자</t>
    <phoneticPr fontId="0" type="Hiragana"/>
  </si>
  <si>
    <t>(국문)</t>
    <phoneticPr fontId="21" type="noConversion"/>
  </si>
  <si>
    <t>정부물품분류번호 찾기</t>
    <phoneticPr fontId="4" type="noConversion"/>
  </si>
  <si>
    <t>연구과제명</t>
  </si>
  <si>
    <t>2. 모   델   명</t>
    <phoneticPr fontId="21" type="noConversion"/>
  </si>
  <si>
    <t>3. 제   조   사</t>
    <phoneticPr fontId="21" type="noConversion"/>
  </si>
  <si>
    <t>4. 제 작 국 가</t>
    <phoneticPr fontId="21" type="noConversion"/>
  </si>
  <si>
    <t xml:space="preserve">  </t>
    <phoneticPr fontId="4" type="noConversion"/>
  </si>
  <si>
    <t>Ⅰ. 용도(End-user's Use)</t>
    <phoneticPr fontId="21" type="noConversion"/>
  </si>
  <si>
    <t>□ 물품 구매(청구) 내역</t>
    <phoneticPr fontId="4" type="noConversion"/>
  </si>
  <si>
    <t>Ⅰ. 일반사양 :</t>
    <phoneticPr fontId="21" type="noConversion"/>
  </si>
  <si>
    <t>물품명</t>
  </si>
  <si>
    <t>단위</t>
  </si>
  <si>
    <t>단가
(부가세포함)</t>
    <phoneticPr fontId="4" type="noConversion"/>
  </si>
  <si>
    <t>금 액
(부가세포함)</t>
    <phoneticPr fontId="4" type="noConversion"/>
  </si>
  <si>
    <t>비고</t>
  </si>
  <si>
    <t>(국문)</t>
    <phoneticPr fontId="4" type="noConversion"/>
  </si>
  <si>
    <t>Ⅱ. 장비의 구성(Configurations of Goods)</t>
    <phoneticPr fontId="21" type="noConversion"/>
  </si>
  <si>
    <t>(영문)</t>
    <phoneticPr fontId="4" type="noConversion"/>
  </si>
  <si>
    <t>Ⅱ. 성      능 :</t>
    <phoneticPr fontId="21" type="noConversion"/>
  </si>
  <si>
    <t>품목분류
(상품정보시스템사이트 참고하여 기재)</t>
    <phoneticPr fontId="4" type="noConversion"/>
  </si>
  <si>
    <t>물품분류명
(세부품명)</t>
    <phoneticPr fontId="4" type="noConversion"/>
  </si>
  <si>
    <t>2. Accessories :</t>
    <phoneticPr fontId="21" type="noConversion"/>
  </si>
  <si>
    <t>① 
②
③
④
⑤
⑥</t>
    <phoneticPr fontId="21" type="noConversion"/>
  </si>
  <si>
    <t>□ 구매 물품 정보</t>
    <phoneticPr fontId="4" type="noConversion"/>
  </si>
  <si>
    <t>구매방법</t>
    <phoneticPr fontId="4" type="noConversion"/>
  </si>
  <si>
    <t>내.외자구분</t>
    <phoneticPr fontId="4" type="noConversion"/>
  </si>
  <si>
    <t>구매종류</t>
    <phoneticPr fontId="4" type="noConversion"/>
  </si>
  <si>
    <t>구매구분</t>
    <phoneticPr fontId="4" type="noConversion"/>
  </si>
  <si>
    <t>Ⅳ. 기타 조건(Remarks)</t>
    <phoneticPr fontId="21" type="noConversion"/>
  </si>
  <si>
    <t>자산등재여부</t>
    <phoneticPr fontId="4" type="noConversion"/>
  </si>
  <si>
    <t>국내·외 출장 신청(명령)서</t>
    <phoneticPr fontId="4" type="noConversion"/>
  </si>
  <si>
    <t>1. 출장사항</t>
    <phoneticPr fontId="4" type="noConversion"/>
  </si>
  <si>
    <t>출장형태</t>
    <phoneticPr fontId="4" type="noConversion"/>
  </si>
  <si>
    <t>출장목적</t>
    <phoneticPr fontId="4" type="noConversion"/>
  </si>
  <si>
    <t>출장기간</t>
  </si>
  <si>
    <t>(</t>
    <phoneticPr fontId="4" type="noConversion"/>
  </si>
  <si>
    <t>박</t>
    <phoneticPr fontId="4" type="noConversion"/>
  </si>
  <si>
    <t>일)</t>
    <phoneticPr fontId="4" type="noConversion"/>
  </si>
  <si>
    <t>출장국(출장도시)</t>
    <phoneticPr fontId="4" type="noConversion"/>
  </si>
  <si>
    <t>출장자 
인적사항</t>
    <phoneticPr fontId="4" type="noConversion"/>
  </si>
  <si>
    <t>2. 주요 출장 일정</t>
    <phoneticPr fontId="4" type="noConversion"/>
  </si>
  <si>
    <t>날짜</t>
    <phoneticPr fontId="4" type="noConversion"/>
  </si>
  <si>
    <t>출발지</t>
    <phoneticPr fontId="4" type="noConversion"/>
  </si>
  <si>
    <t>도착지</t>
    <phoneticPr fontId="4" type="noConversion"/>
  </si>
  <si>
    <t>방문기관</t>
    <phoneticPr fontId="4" type="noConversion"/>
  </si>
  <si>
    <t>활동내용</t>
    <phoneticPr fontId="4" type="noConversion"/>
  </si>
  <si>
    <t>비고</t>
    <phoneticPr fontId="4" type="noConversion"/>
  </si>
  <si>
    <t>위와 같이 출장을 신청합니다.</t>
    <phoneticPr fontId="4" type="noConversion"/>
  </si>
  <si>
    <t>위와 같이 출장 결과보고서를 제출합니다.</t>
    <phoneticPr fontId="4" type="noConversion"/>
  </si>
  <si>
    <t>간접비 계산식</t>
    <phoneticPr fontId="4" type="noConversion"/>
  </si>
  <si>
    <t>주말·휴일 회의 사전 품의서</t>
    <phoneticPr fontId="0" type="Hiragana"/>
  </si>
  <si>
    <r>
      <t>참석자 서명부</t>
    </r>
    <r>
      <rPr>
        <b/>
        <sz val="11"/>
        <color rgb="FFFF0000"/>
        <rFont val="맑은 고딕"/>
        <family val="3"/>
        <charset val="129"/>
        <scheme val="minor"/>
      </rPr>
      <t>＊지원기관 요청시</t>
    </r>
    <phoneticPr fontId="0" type="Hiragana"/>
  </si>
  <si>
    <t>SRnD 과제번호</t>
    <phoneticPr fontId="0" type="Hiragana"/>
  </si>
  <si>
    <t>장소</t>
  </si>
  <si>
    <t>일자</t>
    <phoneticPr fontId="4" type="noConversion"/>
  </si>
  <si>
    <t>장소</t>
    <phoneticPr fontId="4" type="noConversion"/>
  </si>
  <si>
    <t>연번</t>
    <phoneticPr fontId="4" type="noConversion"/>
  </si>
  <si>
    <t>직위</t>
    <phoneticPr fontId="4" type="noConversion"/>
  </si>
  <si>
    <t>서명</t>
    <phoneticPr fontId="4" type="noConversion"/>
  </si>
  <si>
    <t>목적</t>
  </si>
  <si>
    <t>참석예정자</t>
    <phoneticPr fontId="4" type="noConversion"/>
  </si>
  <si>
    <t>○○○외 ○명</t>
    <phoneticPr fontId="4" type="noConversion"/>
  </si>
  <si>
    <t>예정금액(원)</t>
    <phoneticPr fontId="4" type="noConversion"/>
  </si>
  <si>
    <t>주말·휴일
회의 집행 사유</t>
    <phoneticPr fontId="4" type="noConversion"/>
  </si>
  <si>
    <t>성명(소속)</t>
    <phoneticPr fontId="4" type="noConversion"/>
  </si>
  <si>
    <t>상기와 같이 연구과제 수행과 관련하여 주말·휴일 회의를 사전품의 하고자 합니다.</t>
    <phoneticPr fontId="4" type="noConversion"/>
  </si>
  <si>
    <t>년         월         일</t>
    <phoneticPr fontId="4" type="noConversion"/>
  </si>
  <si>
    <t>연구책임자</t>
  </si>
  <si>
    <t>연구수당 기여도 평가서 및 지급 신청서</t>
    <phoneticPr fontId="4" type="noConversion"/>
  </si>
  <si>
    <t>□ 기여도 평가서</t>
    <phoneticPr fontId="4" type="noConversion"/>
  </si>
  <si>
    <t>평가기간</t>
    <phoneticPr fontId="4" type="noConversion"/>
  </si>
  <si>
    <t>평가대상자</t>
    <phoneticPr fontId="4" type="noConversion"/>
  </si>
  <si>
    <t>기여도(%)</t>
    <phoneticPr fontId="4" type="noConversion"/>
  </si>
  <si>
    <t>평가항목(예시)</t>
    <phoneticPr fontId="4" type="noConversion"/>
  </si>
  <si>
    <t>연구과제 수행</t>
    <phoneticPr fontId="4" type="noConversion"/>
  </si>
  <si>
    <t>연구결과물</t>
    <phoneticPr fontId="4" type="noConversion"/>
  </si>
  <si>
    <t>연구결과 발표</t>
    <phoneticPr fontId="4" type="noConversion"/>
  </si>
  <si>
    <t>합계</t>
    <phoneticPr fontId="4" type="noConversion"/>
  </si>
  <si>
    <t>□ 연구수당 지급 신청서</t>
    <phoneticPr fontId="4" type="noConversion"/>
  </si>
  <si>
    <t>세목</t>
    <phoneticPr fontId="4" type="noConversion"/>
  </si>
  <si>
    <t>예산액</t>
    <phoneticPr fontId="4" type="noConversion"/>
  </si>
  <si>
    <t>기 지급액</t>
    <phoneticPr fontId="4" type="noConversion"/>
  </si>
  <si>
    <t>금회 지급액</t>
    <phoneticPr fontId="4" type="noConversion"/>
  </si>
  <si>
    <t>지급액</t>
    <phoneticPr fontId="4" type="noConversion"/>
  </si>
  <si>
    <t>입금계좌</t>
    <phoneticPr fontId="4" type="noConversion"/>
  </si>
  <si>
    <t>(인건비 계좌와 동일)</t>
    <phoneticPr fontId="4" type="noConversion"/>
  </si>
  <si>
    <t>Request for Expert expenses</t>
    <phoneticPr fontId="4" type="noConversion"/>
  </si>
  <si>
    <t>SRnD No.</t>
    <phoneticPr fontId="0" type="Hiragana"/>
  </si>
  <si>
    <t>Principal Investigator</t>
    <phoneticPr fontId="0" type="Hiragana"/>
  </si>
  <si>
    <t>Project Title</t>
    <phoneticPr fontId="4" type="noConversion"/>
  </si>
  <si>
    <t>Funding Institution</t>
    <phoneticPr fontId="4" type="noConversion"/>
  </si>
  <si>
    <t>구 분</t>
  </si>
  <si>
    <t>회의수당</t>
  </si>
  <si>
    <t>원고료</t>
  </si>
  <si>
    <t>강사료</t>
  </si>
  <si>
    <t>자문료 등</t>
  </si>
  <si>
    <t>(1회/3시간이내)</t>
  </si>
  <si>
    <t>(A4 1장당)</t>
  </si>
  <si>
    <t>(1시간 당)</t>
  </si>
  <si>
    <t>구분</t>
  </si>
  <si>
    <t>자문료</t>
  </si>
  <si>
    <t>대면/비대면</t>
    <phoneticPr fontId="4" type="noConversion"/>
  </si>
  <si>
    <t>200,000 이하</t>
  </si>
  <si>
    <t>1,000,000 이하</t>
  </si>
  <si>
    <t>150,000 이하</t>
  </si>
  <si>
    <t>Type</t>
    <phoneticPr fontId="4" type="noConversion"/>
  </si>
  <si>
    <t>Lecture</t>
  </si>
  <si>
    <t>Contact/Untact</t>
    <phoneticPr fontId="4" type="noConversion"/>
  </si>
  <si>
    <t>기간</t>
    <phoneticPr fontId="4" type="noConversion"/>
  </si>
  <si>
    <t>활용일자</t>
    <phoneticPr fontId="4" type="noConversion"/>
  </si>
  <si>
    <t>활용시간</t>
    <phoneticPr fontId="4" type="noConversion"/>
  </si>
  <si>
    <t>=</t>
    <phoneticPr fontId="4" type="noConversion"/>
  </si>
  <si>
    <t>시간</t>
    <phoneticPr fontId="4" type="noConversion"/>
  </si>
  <si>
    <t>Period</t>
    <phoneticPr fontId="4" type="noConversion"/>
  </si>
  <si>
    <t>Date</t>
    <phoneticPr fontId="4" type="noConversion"/>
  </si>
  <si>
    <t>Time</t>
    <phoneticPr fontId="4" type="noConversion"/>
  </si>
  <si>
    <t>hours</t>
    <phoneticPr fontId="4" type="noConversion"/>
  </si>
  <si>
    <t>시간/회당/장</t>
    <phoneticPr fontId="4" type="noConversion"/>
  </si>
  <si>
    <t>직급(직위)</t>
    <phoneticPr fontId="4" type="noConversion"/>
  </si>
  <si>
    <t>800,000 이하</t>
  </si>
  <si>
    <t>100,000 이하</t>
  </si>
  <si>
    <t>Unit</t>
    <phoneticPr fontId="4" type="noConversion"/>
  </si>
  <si>
    <t>hour(s)</t>
  </si>
  <si>
    <t>Position</t>
    <phoneticPr fontId="4" type="noConversion"/>
  </si>
  <si>
    <t>Superior(Senior)</t>
  </si>
  <si>
    <t>Place</t>
    <phoneticPr fontId="4" type="noConversion"/>
  </si>
  <si>
    <t>제목</t>
  </si>
  <si>
    <t>Title</t>
    <phoneticPr fontId="4" type="noConversion"/>
  </si>
  <si>
    <t>Contents</t>
    <phoneticPr fontId="4" type="noConversion"/>
  </si>
  <si>
    <t>인적사항</t>
    <phoneticPr fontId="4" type="noConversion"/>
  </si>
  <si>
    <t>계좌이체정보</t>
    <phoneticPr fontId="0" type="Hiragana"/>
  </si>
  <si>
    <t>Payment</t>
    <phoneticPr fontId="4" type="noConversion"/>
  </si>
  <si>
    <t>Personal Information</t>
    <phoneticPr fontId="4" type="noConversion"/>
  </si>
  <si>
    <t>Recipient's Bank</t>
    <phoneticPr fontId="0" type="Hiragana"/>
  </si>
  <si>
    <t>이름</t>
    <phoneticPr fontId="4" type="noConversion"/>
  </si>
  <si>
    <t>이메일주소</t>
    <phoneticPr fontId="4" type="noConversion"/>
  </si>
  <si>
    <t>은행명</t>
    <phoneticPr fontId="4" type="noConversion"/>
  </si>
  <si>
    <t>계좌번호</t>
    <phoneticPr fontId="4" type="noConversion"/>
  </si>
  <si>
    <t>예금주</t>
    <phoneticPr fontId="4" type="noConversion"/>
  </si>
  <si>
    <t>Name</t>
    <phoneticPr fontId="4" type="noConversion"/>
  </si>
  <si>
    <t>Institution
(Dept.)</t>
    <phoneticPr fontId="4" type="noConversion"/>
  </si>
  <si>
    <t>Passport No,</t>
    <phoneticPr fontId="4" type="noConversion"/>
  </si>
  <si>
    <t>Bank Name</t>
    <phoneticPr fontId="4" type="noConversion"/>
  </si>
  <si>
    <t>A/C No.</t>
    <phoneticPr fontId="4" type="noConversion"/>
  </si>
  <si>
    <t>Recipient</t>
    <phoneticPr fontId="4" type="noConversion"/>
  </si>
  <si>
    <t>(수령인 서명)</t>
    <phoneticPr fontId="4" type="noConversion"/>
  </si>
  <si>
    <t>활용비</t>
    <phoneticPr fontId="4" type="noConversion"/>
  </si>
  <si>
    <t>출장경비</t>
    <phoneticPr fontId="4" type="noConversion"/>
  </si>
  <si>
    <t>총액</t>
  </si>
  <si>
    <t>외국어 → 한국어</t>
    <phoneticPr fontId="4" type="noConversion"/>
  </si>
  <si>
    <t>한국어 → 외국어</t>
    <phoneticPr fontId="4" type="noConversion"/>
  </si>
  <si>
    <t>(Signature)</t>
    <phoneticPr fontId="4" type="noConversion"/>
  </si>
  <si>
    <t>Honorarium</t>
    <phoneticPr fontId="4" type="noConversion"/>
  </si>
  <si>
    <t>Travel Expenses</t>
    <phoneticPr fontId="4" type="noConversion"/>
  </si>
  <si>
    <t>Total</t>
    <phoneticPr fontId="4" type="noConversion"/>
  </si>
  <si>
    <t>항공료</t>
  </si>
  <si>
    <t>교통료</t>
  </si>
  <si>
    <t>체재비</t>
  </si>
  <si>
    <t>숙박비</t>
  </si>
  <si>
    <t>Airfare</t>
    <phoneticPr fontId="4" type="noConversion"/>
  </si>
  <si>
    <t>Transportation</t>
    <phoneticPr fontId="4" type="noConversion"/>
  </si>
  <si>
    <t>Per diem</t>
    <phoneticPr fontId="4" type="noConversion"/>
  </si>
  <si>
    <t>Accomodations</t>
    <phoneticPr fontId="4" type="noConversion"/>
  </si>
  <si>
    <t xml:space="preserve"> ※영어, 일어, 중국어, 불어, 독어, 스페인어, 러시아어를 제외한 특수어는 별도의 기준 적용가능</t>
    <phoneticPr fontId="4" type="noConversion"/>
  </si>
  <si>
    <t>시간당 100,000</t>
    <phoneticPr fontId="4" type="noConversion"/>
  </si>
  <si>
    <t>단가</t>
    <phoneticPr fontId="4" type="noConversion"/>
  </si>
  <si>
    <t>속기기본</t>
    <phoneticPr fontId="4" type="noConversion"/>
  </si>
  <si>
    <t>1급 속기사 기준</t>
    <phoneticPr fontId="4" type="noConversion"/>
  </si>
  <si>
    <t>녹음재생</t>
    <phoneticPr fontId="4" type="noConversion"/>
  </si>
  <si>
    <t>○ Do you agree with the provision of your personal information to a third party?</t>
    <phoneticPr fontId="4" type="noConversion"/>
  </si>
  <si>
    <t>상기와 같이 연구과제 수행과 관련하여 전문가활용비를 청구합니다.</t>
    <phoneticPr fontId="0" type="Hiragana"/>
  </si>
  <si>
    <t>P.I.</t>
    <phoneticPr fontId="4" type="noConversion"/>
  </si>
  <si>
    <t>SNU R&amp;DB Foundation</t>
    <phoneticPr fontId="4" type="noConversion"/>
  </si>
  <si>
    <t>행사개최내역서</t>
    <phoneticPr fontId="0" type="Hiragana"/>
  </si>
  <si>
    <t>행사명</t>
    <phoneticPr fontId="4" type="noConversion"/>
  </si>
  <si>
    <t>행사일시</t>
    <phoneticPr fontId="4" type="noConversion"/>
  </si>
  <si>
    <t>사용액</t>
    <phoneticPr fontId="4" type="noConversion"/>
  </si>
  <si>
    <t>행사내용</t>
    <phoneticPr fontId="4" type="noConversion"/>
  </si>
  <si>
    <t>내부참석자</t>
    <phoneticPr fontId="4" type="noConversion"/>
  </si>
  <si>
    <t>외부참석자</t>
  </si>
  <si>
    <t>청구내역</t>
    <phoneticPr fontId="4" type="noConversion"/>
  </si>
  <si>
    <t>:</t>
    <phoneticPr fontId="4" type="noConversion"/>
  </si>
  <si>
    <t>계</t>
    <phoneticPr fontId="4" type="noConversion"/>
  </si>
  <si>
    <t>(지급신청서 및 거래외국환은행 지정(변경)신청서 겸용)</t>
  </si>
  <si>
    <t>실명확인</t>
  </si>
  <si>
    <t>팀 원</t>
  </si>
  <si>
    <t>팀 장</t>
  </si>
  <si>
    <t>영업점장</t>
  </si>
  <si>
    <r>
      <t>농협은행 주식회사</t>
    </r>
    <r>
      <rPr>
        <b/>
        <sz val="10"/>
        <color rgb="FF000000"/>
        <rFont val="맑은 고딕"/>
        <family val="3"/>
        <charset val="129"/>
        <scheme val="minor"/>
      </rPr>
      <t xml:space="preserve"> 앞</t>
    </r>
  </si>
  <si>
    <t xml:space="preserve">SNU R&amp;DB FOUNDATION  </t>
    <phoneticPr fontId="4" type="noConversion"/>
  </si>
  <si>
    <r>
      <t xml:space="preserve">은행명 </t>
    </r>
    <r>
      <rPr>
        <sz val="8"/>
        <color rgb="FF000000"/>
        <rFont val="맑은 고딕"/>
        <family val="3"/>
        <charset val="129"/>
        <scheme val="minor"/>
      </rPr>
      <t>(Bank Name)</t>
    </r>
  </si>
  <si>
    <t>SWIFT BIC</t>
    <phoneticPr fontId="4" type="noConversion"/>
  </si>
  <si>
    <r>
      <t>계좌번호</t>
    </r>
    <r>
      <rPr>
        <sz val="8"/>
        <color rgb="FF000000"/>
        <rFont val="맑은 고딕"/>
        <family val="3"/>
        <charset val="129"/>
        <scheme val="minor"/>
      </rPr>
      <t xml:space="preserve"> (A/C No.)</t>
    </r>
  </si>
  <si>
    <t>수취인 ID 또는 기타</t>
  </si>
  <si>
    <t>신고금액</t>
  </si>
  <si>
    <t>신고일자</t>
  </si>
  <si>
    <t>신청인(Applicant) :                                             (인 또는 서명)</t>
    <phoneticPr fontId="4" type="noConversion"/>
  </si>
  <si>
    <r>
      <t xml:space="preserve">위 사실을 확인함                               </t>
    </r>
    <r>
      <rPr>
        <b/>
        <sz val="9"/>
        <color rgb="FF0000FF"/>
        <rFont val="맑은 고딕"/>
        <family val="3"/>
        <charset val="129"/>
        <scheme val="minor"/>
      </rPr>
      <t xml:space="preserve">농 협 은 행 </t>
    </r>
    <r>
      <rPr>
        <b/>
        <sz val="9"/>
        <color rgb="FF000000"/>
        <rFont val="맑은 고딕"/>
        <family val="3"/>
        <charset val="129"/>
        <scheme val="minor"/>
      </rPr>
      <t>장 (인)</t>
    </r>
    <phoneticPr fontId="4" type="noConversion"/>
  </si>
  <si>
    <t>확 인 서</t>
    <phoneticPr fontId="0" type="Hiragana"/>
  </si>
  <si>
    <t>사용세목</t>
    <phoneticPr fontId="4" type="noConversion"/>
  </si>
  <si>
    <t>사용내역</t>
    <phoneticPr fontId="4" type="noConversion"/>
  </si>
  <si>
    <t>사용일자</t>
    <phoneticPr fontId="4" type="noConversion"/>
  </si>
  <si>
    <t>사용금액(원)</t>
    <phoneticPr fontId="4" type="noConversion"/>
  </si>
  <si>
    <t>사유</t>
    <phoneticPr fontId="4" type="noConversion"/>
  </si>
  <si>
    <t>연구비(법인)카드 미사용</t>
  </si>
  <si>
    <t>해당 사용내역에 대해 위와 같이 소명하며, 추후 문제 발생 시 해결을 위해 책임을 다하겠습니다.</t>
    <phoneticPr fontId="4" type="noConversion"/>
  </si>
  <si>
    <t>흰색 빈칸만 수정하여 사용하십시오.</t>
    <phoneticPr fontId="62" type="noConversion"/>
  </si>
  <si>
    <t>사업 구분 선택</t>
    <phoneticPr fontId="4" type="noConversion"/>
  </si>
  <si>
    <t>1. 총 연구비</t>
    <phoneticPr fontId="62" type="noConversion"/>
  </si>
  <si>
    <t>총 연구비는 얼마입니까?</t>
    <phoneticPr fontId="62" type="noConversion"/>
  </si>
  <si>
    <t>원</t>
    <phoneticPr fontId="62" type="noConversion"/>
  </si>
  <si>
    <t>2. 위탁연구비(부가세)</t>
    <phoneticPr fontId="62" type="noConversion"/>
  </si>
  <si>
    <t>연구비 내에 위탁연구비(부가세)가 있습니까?</t>
    <phoneticPr fontId="62" type="noConversion"/>
  </si>
  <si>
    <t>원 (없으면 0원 )</t>
    <phoneticPr fontId="62" type="noConversion"/>
  </si>
  <si>
    <t>3. 간접비 계상기준</t>
    <phoneticPr fontId="62" type="noConversion"/>
  </si>
  <si>
    <t>간접비 산정비율의 기준은?</t>
    <phoneticPr fontId="62" type="noConversion"/>
  </si>
  <si>
    <t>의</t>
    <phoneticPr fontId="62" type="noConversion"/>
  </si>
  <si>
    <t>%</t>
    <phoneticPr fontId="62" type="noConversion"/>
  </si>
  <si>
    <t>4. 결과값</t>
    <phoneticPr fontId="62" type="noConversion"/>
  </si>
  <si>
    <t>간접경비는</t>
    <phoneticPr fontId="62" type="noConversion"/>
  </si>
  <si>
    <t>원이며,</t>
    <phoneticPr fontId="62" type="noConversion"/>
  </si>
  <si>
    <t>인건비와 직접경비의 합은</t>
    <phoneticPr fontId="62" type="noConversion"/>
  </si>
  <si>
    <t>원입니다.</t>
    <phoneticPr fontId="62" type="noConversion"/>
  </si>
  <si>
    <t>간접경비는 (인건비+직접경비)의</t>
    <phoneticPr fontId="62" type="noConversion"/>
  </si>
  <si>
    <t>입니다.</t>
    <phoneticPr fontId="62" type="noConversion"/>
  </si>
  <si>
    <t>※ 간접비 계상기준의 법적 근거</t>
    <phoneticPr fontId="62" type="noConversion"/>
  </si>
  <si>
    <t xml:space="preserve"> - 목  차 -</t>
    <phoneticPr fontId="4" type="noConversion"/>
  </si>
  <si>
    <t>순번</t>
  </si>
  <si>
    <t>성명(영문)</t>
  </si>
  <si>
    <t>성명(한문)</t>
  </si>
  <si>
    <t>소속기관</t>
  </si>
  <si>
    <t>소속부서</t>
  </si>
  <si>
    <t>소속관리기관
(원소속)</t>
    <phoneticPr fontId="62" type="noConversion"/>
  </si>
  <si>
    <t>국가</t>
  </si>
  <si>
    <t>여권번호
(외국인 필수)</t>
    <phoneticPr fontId="62" type="noConversion"/>
  </si>
  <si>
    <t>계좌번호
('-'없이 숫자만 기재)</t>
    <phoneticPr fontId="62" type="noConversion"/>
  </si>
  <si>
    <t>은행명</t>
    <phoneticPr fontId="62" type="noConversion"/>
  </si>
  <si>
    <t>예금주</t>
  </si>
  <si>
    <t>앞자리</t>
  </si>
  <si>
    <t>뒷자리</t>
  </si>
  <si>
    <t>홍길동</t>
    <phoneticPr fontId="62" type="noConversion"/>
  </si>
  <si>
    <t>산학협력단</t>
    <phoneticPr fontId="62" type="noConversion"/>
  </si>
  <si>
    <t>한국</t>
    <phoneticPr fontId="62" type="noConversion"/>
  </si>
  <si>
    <t>sample@snu.ac.kr</t>
    <phoneticPr fontId="62" type="noConversion"/>
  </si>
  <si>
    <t>카카오뱅크</t>
    <phoneticPr fontId="62" type="noConversion"/>
  </si>
  <si>
    <t>마이클</t>
    <phoneticPr fontId="62" type="noConversion"/>
  </si>
  <si>
    <t>조지아</t>
  </si>
  <si>
    <t>ABC00012</t>
    <phoneticPr fontId="62" type="noConversion"/>
  </si>
  <si>
    <t>sample2@snu.ac.kr</t>
    <phoneticPr fontId="62" type="noConversion"/>
  </si>
  <si>
    <t>HSBC</t>
  </si>
  <si>
    <t>직급구분</t>
    <phoneticPr fontId="4" type="noConversion"/>
  </si>
  <si>
    <t>거주구분</t>
    <phoneticPr fontId="4" type="noConversion"/>
  </si>
  <si>
    <t>활용기간</t>
    <phoneticPr fontId="4" type="noConversion"/>
  </si>
  <si>
    <t>시작일</t>
    <phoneticPr fontId="4" type="noConversion"/>
  </si>
  <si>
    <t>종료일</t>
    <phoneticPr fontId="4" type="noConversion"/>
  </si>
  <si>
    <t>연구책임자</t>
    <phoneticPr fontId="4" type="noConversion"/>
  </si>
  <si>
    <t>국가</t>
    <phoneticPr fontId="62" type="noConversion"/>
  </si>
  <si>
    <t>한국</t>
  </si>
  <si>
    <t>한국은행</t>
  </si>
  <si>
    <t>미국</t>
  </si>
  <si>
    <t>산업은행</t>
  </si>
  <si>
    <t>중국</t>
  </si>
  <si>
    <t>기업은행</t>
  </si>
  <si>
    <t>일본</t>
  </si>
  <si>
    <t>국민은행</t>
  </si>
  <si>
    <t>솔로몬</t>
  </si>
  <si>
    <t>외환은행</t>
  </si>
  <si>
    <t>체코</t>
  </si>
  <si>
    <t>수협중앙회</t>
  </si>
  <si>
    <t>인도</t>
  </si>
  <si>
    <t>수출입은행</t>
  </si>
  <si>
    <t>장기신용은행</t>
  </si>
  <si>
    <t>캐나다</t>
  </si>
  <si>
    <t>보람은행</t>
  </si>
  <si>
    <t>스웨덴</t>
  </si>
  <si>
    <t>NH농협은행</t>
  </si>
  <si>
    <t>캄보디아</t>
  </si>
  <si>
    <t>농협협동조합</t>
  </si>
  <si>
    <t>몽골</t>
  </si>
  <si>
    <t>축협중앙회</t>
  </si>
  <si>
    <t>감비아</t>
  </si>
  <si>
    <t>우리은행</t>
  </si>
  <si>
    <t>안타티카</t>
  </si>
  <si>
    <t>상업은행</t>
  </si>
  <si>
    <t>온두라스</t>
  </si>
  <si>
    <t>한국스탠다드차타드은행</t>
  </si>
  <si>
    <t>말리</t>
  </si>
  <si>
    <t>한일은행</t>
  </si>
  <si>
    <t>마샬군도</t>
  </si>
  <si>
    <t>서울은행</t>
  </si>
  <si>
    <t>영령 인도양</t>
  </si>
  <si>
    <t>씨티은행(한미)</t>
  </si>
  <si>
    <t>투발루</t>
  </si>
  <si>
    <t>동화은행</t>
  </si>
  <si>
    <t>세인트 피레 미켈론</t>
  </si>
  <si>
    <t>동남은행</t>
  </si>
  <si>
    <t>스발비드 군도</t>
  </si>
  <si>
    <t>대동은행</t>
  </si>
  <si>
    <t xml:space="preserve">파라과이 </t>
  </si>
  <si>
    <t>대구은행</t>
  </si>
  <si>
    <t>아루바</t>
  </si>
  <si>
    <t>부산은행</t>
  </si>
  <si>
    <t>발로</t>
  </si>
  <si>
    <t>충청은행</t>
  </si>
  <si>
    <t>라오스</t>
  </si>
  <si>
    <t>광주은행</t>
  </si>
  <si>
    <t>태국</t>
  </si>
  <si>
    <t>제주은행</t>
  </si>
  <si>
    <t>마카오</t>
  </si>
  <si>
    <t>경기은행</t>
  </si>
  <si>
    <t>가봉</t>
  </si>
  <si>
    <t>전북은행</t>
  </si>
  <si>
    <t>말라위</t>
  </si>
  <si>
    <t>강원은행</t>
  </si>
  <si>
    <t>불령 가이아나</t>
  </si>
  <si>
    <t>경남은행</t>
  </si>
  <si>
    <t>세이쉘</t>
  </si>
  <si>
    <t>충북은행</t>
  </si>
  <si>
    <t>폴란드</t>
  </si>
  <si>
    <t>새마을금고</t>
  </si>
  <si>
    <t>쿠웨이트</t>
  </si>
  <si>
    <t>신용협동조합</t>
  </si>
  <si>
    <t>아이슬란드</t>
  </si>
  <si>
    <t>체이스맨하탄은행</t>
  </si>
  <si>
    <t>자이레</t>
  </si>
  <si>
    <t>레바논</t>
  </si>
  <si>
    <t>산림조합</t>
  </si>
  <si>
    <t>레소토</t>
  </si>
  <si>
    <t>우체국</t>
  </si>
  <si>
    <t>북마리아나 군도</t>
  </si>
  <si>
    <t>하나은행</t>
  </si>
  <si>
    <t xml:space="preserve">코트디부아르 </t>
  </si>
  <si>
    <t xml:space="preserve">토켈라우 </t>
  </si>
  <si>
    <t>평화은행</t>
  </si>
  <si>
    <t>포르투갈</t>
  </si>
  <si>
    <t>신한은행</t>
  </si>
  <si>
    <t>벨기에</t>
  </si>
  <si>
    <t>대한투자신탁</t>
  </si>
  <si>
    <t>바베이도스</t>
  </si>
  <si>
    <t>한국투자신탁</t>
  </si>
  <si>
    <t>안도라</t>
  </si>
  <si>
    <t>동양증권</t>
  </si>
  <si>
    <t>유고슬라비아</t>
  </si>
  <si>
    <t>현대증권</t>
  </si>
  <si>
    <t>벨라루스</t>
  </si>
  <si>
    <t>미래에셋증권</t>
  </si>
  <si>
    <t>쿡 제도</t>
  </si>
  <si>
    <t>대우증권</t>
  </si>
  <si>
    <t>남조지아 &amp; 남샌드위치 군도</t>
  </si>
  <si>
    <t>삼성증권</t>
  </si>
  <si>
    <t>아르메니아</t>
  </si>
  <si>
    <t>한국투자증권</t>
  </si>
  <si>
    <t>요르단</t>
  </si>
  <si>
    <t>우리투자증권</t>
  </si>
  <si>
    <t>이집트</t>
  </si>
  <si>
    <t>교보증권</t>
  </si>
  <si>
    <t>인도네시아</t>
  </si>
  <si>
    <t>하이투자증권</t>
  </si>
  <si>
    <t>카메룬</t>
  </si>
  <si>
    <t>HMC투자증권</t>
  </si>
  <si>
    <t>코모로</t>
  </si>
  <si>
    <t>키움증권</t>
  </si>
  <si>
    <t>콜롬비아</t>
  </si>
  <si>
    <t>이트레이드증권</t>
  </si>
  <si>
    <t>쿠바</t>
  </si>
  <si>
    <t>에스케이증권</t>
  </si>
  <si>
    <t>트리니다드토바고</t>
  </si>
  <si>
    <t>대신증권</t>
  </si>
  <si>
    <t>파푸아뉴기니</t>
  </si>
  <si>
    <t>솔로몬투자증권</t>
  </si>
  <si>
    <t>프랑스</t>
  </si>
  <si>
    <t>한화증권</t>
  </si>
  <si>
    <t>호주</t>
  </si>
  <si>
    <t>하나대투증권</t>
  </si>
  <si>
    <t>과델로프</t>
  </si>
  <si>
    <t>신한금융투자</t>
  </si>
  <si>
    <t>뉴 칼레도니아</t>
  </si>
  <si>
    <t>동부증권</t>
  </si>
  <si>
    <t>바티칸 시티</t>
  </si>
  <si>
    <t>유진투자증권</t>
  </si>
  <si>
    <t>보스니아헤르체고비나</t>
  </si>
  <si>
    <t>메리츠종합금융증권</t>
  </si>
  <si>
    <t>세인트 키츠 네비스</t>
  </si>
  <si>
    <t>엔에이치투자증권</t>
  </si>
  <si>
    <t>싱가포르</t>
  </si>
  <si>
    <t>부국증권</t>
  </si>
  <si>
    <t xml:space="preserve">아랍에미리트 </t>
  </si>
  <si>
    <t>엘아이지투자증권</t>
  </si>
  <si>
    <t>안굴리아</t>
  </si>
  <si>
    <t>적도 기니</t>
  </si>
  <si>
    <t>케이뱅크</t>
    <phoneticPr fontId="62" type="noConversion"/>
  </si>
  <si>
    <t>소말리아</t>
  </si>
  <si>
    <t>룩셈브르크</t>
  </si>
  <si>
    <t>홍콩</t>
  </si>
  <si>
    <t>이란</t>
  </si>
  <si>
    <t>이스라엘</t>
  </si>
  <si>
    <t>크메르</t>
  </si>
  <si>
    <t>몰디브</t>
  </si>
  <si>
    <t>오만</t>
  </si>
  <si>
    <t>필리핀</t>
  </si>
  <si>
    <t>사우디아라비아</t>
  </si>
  <si>
    <t>스리랑카</t>
  </si>
  <si>
    <t>시리아</t>
  </si>
  <si>
    <t>터키</t>
  </si>
  <si>
    <t>예멘</t>
  </si>
  <si>
    <t>미크로네시아</t>
  </si>
  <si>
    <t>아르헨티나</t>
  </si>
  <si>
    <t>바하마</t>
  </si>
  <si>
    <t>브라질</t>
  </si>
  <si>
    <t>칠레</t>
  </si>
  <si>
    <t>코스타리카</t>
  </si>
  <si>
    <t>엘살바도르</t>
  </si>
  <si>
    <t>과테말라</t>
  </si>
  <si>
    <t>아이티</t>
  </si>
  <si>
    <t>멕시코</t>
  </si>
  <si>
    <t>페루</t>
  </si>
  <si>
    <t>베네수엘라</t>
  </si>
  <si>
    <t>핀란드</t>
  </si>
  <si>
    <t>그리스</t>
  </si>
  <si>
    <t>네덜란드</t>
  </si>
  <si>
    <t>산마리노</t>
  </si>
  <si>
    <t>베나투</t>
  </si>
  <si>
    <t>베냉</t>
  </si>
  <si>
    <t>솔로몬제도</t>
  </si>
  <si>
    <t>키리바시</t>
  </si>
  <si>
    <t>대만</t>
  </si>
  <si>
    <t>짐바브웨</t>
  </si>
  <si>
    <t>파로에 군도</t>
  </si>
  <si>
    <t>불가리아</t>
  </si>
  <si>
    <t>르완다</t>
  </si>
  <si>
    <t>시에라리온</t>
  </si>
  <si>
    <t>수단</t>
  </si>
  <si>
    <t>모나코</t>
  </si>
  <si>
    <t>토고</t>
  </si>
  <si>
    <t>우간다</t>
  </si>
  <si>
    <t>가이네아</t>
  </si>
  <si>
    <t>모리타니아</t>
  </si>
  <si>
    <t>잠비아</t>
  </si>
  <si>
    <t>미얀마(버마)</t>
  </si>
  <si>
    <t>부르키나파소</t>
  </si>
  <si>
    <t>슬로베니아</t>
  </si>
  <si>
    <t>우즈베키스탄</t>
  </si>
  <si>
    <t>차오</t>
  </si>
  <si>
    <t>콩고</t>
  </si>
  <si>
    <t>에스토니아</t>
  </si>
  <si>
    <t>유럽연합</t>
  </si>
  <si>
    <t>기니비사우</t>
  </si>
  <si>
    <t>나우루</t>
  </si>
  <si>
    <t>도미니카 공화국</t>
  </si>
  <si>
    <t>리히텐슈타인</t>
  </si>
  <si>
    <t>마이너 아우틀링 합중국 군도</t>
  </si>
  <si>
    <t>보빗군도</t>
  </si>
  <si>
    <t>불령 남부지역</t>
  </si>
  <si>
    <t>서사하라</t>
  </si>
  <si>
    <t>세인트 빈센트 그레나딘</t>
  </si>
  <si>
    <t>세인트 헬레나</t>
  </si>
  <si>
    <t>영령 버진군도</t>
  </si>
  <si>
    <t>영령 캐이맨 군도</t>
  </si>
  <si>
    <t>코스 군도</t>
  </si>
  <si>
    <t>투르크 &amp; 카이코스 군도</t>
  </si>
  <si>
    <t>팔레스타인</t>
  </si>
  <si>
    <t>도미니카</t>
  </si>
  <si>
    <t>우루과이</t>
  </si>
  <si>
    <t>독일</t>
  </si>
  <si>
    <t>키프로스</t>
  </si>
  <si>
    <t>이라크</t>
  </si>
  <si>
    <t>말레이지아</t>
  </si>
  <si>
    <t>네팔</t>
  </si>
  <si>
    <t>탄자니아</t>
  </si>
  <si>
    <t>모잠비크</t>
  </si>
  <si>
    <t>마다가스카르</t>
  </si>
  <si>
    <t>스페인</t>
  </si>
  <si>
    <t xml:space="preserve">동독 </t>
  </si>
  <si>
    <t>파키스탄</t>
  </si>
  <si>
    <t>카타르</t>
  </si>
  <si>
    <t>베트남</t>
  </si>
  <si>
    <t>남예멘</t>
  </si>
  <si>
    <t>볼리비아</t>
  </si>
  <si>
    <t xml:space="preserve">에콰도르 </t>
  </si>
  <si>
    <t>그레나다</t>
  </si>
  <si>
    <t>자메이카</t>
  </si>
  <si>
    <t>파나마</t>
  </si>
  <si>
    <t>수리남</t>
  </si>
  <si>
    <t>오스트리아</t>
  </si>
  <si>
    <t>영국</t>
  </si>
  <si>
    <t>이탈리아</t>
  </si>
  <si>
    <t>몰타</t>
  </si>
  <si>
    <t>노르웨이</t>
  </si>
  <si>
    <t>스위스</t>
  </si>
  <si>
    <t>알바니아</t>
  </si>
  <si>
    <t>소련</t>
  </si>
  <si>
    <t>피지</t>
  </si>
  <si>
    <t>칼레도니아</t>
  </si>
  <si>
    <t>타이티</t>
  </si>
  <si>
    <t>알제리</t>
  </si>
  <si>
    <t>다오메이</t>
  </si>
  <si>
    <t xml:space="preserve">에티오피아 </t>
  </si>
  <si>
    <t>가나</t>
  </si>
  <si>
    <t>케냐</t>
  </si>
  <si>
    <t>리비아</t>
  </si>
  <si>
    <t>모리셔스</t>
  </si>
  <si>
    <t>니제르</t>
  </si>
  <si>
    <t>기니</t>
  </si>
  <si>
    <t>바레인</t>
  </si>
  <si>
    <t>북한</t>
  </si>
  <si>
    <t>가이아나</t>
  </si>
  <si>
    <t>니카라과</t>
  </si>
  <si>
    <t>푸에르토리코</t>
  </si>
  <si>
    <t>덴마크</t>
  </si>
  <si>
    <t>아일랜드</t>
  </si>
  <si>
    <t>헝가리</t>
  </si>
  <si>
    <t>오트볼타</t>
  </si>
  <si>
    <t>부룬디</t>
  </si>
  <si>
    <t>버진군도</t>
  </si>
  <si>
    <t>쎄크레스</t>
  </si>
  <si>
    <t>아제르바잔</t>
  </si>
  <si>
    <t>지부티</t>
  </si>
  <si>
    <t>투르크메니스탄</t>
  </si>
  <si>
    <t xml:space="preserve">키르기스스탄 </t>
  </si>
  <si>
    <t>그린란드</t>
  </si>
  <si>
    <t>피트카이른</t>
  </si>
  <si>
    <t>아프가니스탄</t>
  </si>
  <si>
    <t>방글라데시</t>
  </si>
  <si>
    <t>부탄</t>
  </si>
  <si>
    <t>브루나이</t>
  </si>
  <si>
    <t>루마니아</t>
  </si>
  <si>
    <t>세르비아</t>
  </si>
  <si>
    <t>코소보</t>
  </si>
  <si>
    <t>사모아</t>
  </si>
  <si>
    <t>괌</t>
  </si>
  <si>
    <t>헤브리테스</t>
  </si>
  <si>
    <t>뉴질랜드</t>
  </si>
  <si>
    <t>서사모아</t>
  </si>
  <si>
    <t>보츠와나</t>
  </si>
  <si>
    <t>중앙아프리카공화국</t>
  </si>
  <si>
    <t>차드</t>
  </si>
  <si>
    <t>아이보리코스트</t>
  </si>
  <si>
    <t>라이베리아</t>
  </si>
  <si>
    <t>모로코</t>
  </si>
  <si>
    <t>나이지리아</t>
  </si>
  <si>
    <t>로디지아</t>
  </si>
  <si>
    <t>세네갈</t>
  </si>
  <si>
    <t>남아프리카공화국</t>
  </si>
  <si>
    <t>서남아프리카</t>
  </si>
  <si>
    <t>스와질랜드</t>
  </si>
  <si>
    <t>튀니지</t>
  </si>
  <si>
    <t>콩고민주공화국</t>
  </si>
  <si>
    <t>앙골라</t>
  </si>
  <si>
    <t>말비나소</t>
  </si>
  <si>
    <t>몰도바</t>
  </si>
  <si>
    <t>버뮤다</t>
  </si>
  <si>
    <t>벨리즈</t>
  </si>
  <si>
    <t>벨라루시아</t>
  </si>
  <si>
    <t>러시아</t>
  </si>
  <si>
    <t>시칠리스</t>
  </si>
  <si>
    <t>우크라이나</t>
  </si>
  <si>
    <t>지브랄타</t>
  </si>
  <si>
    <t>포클랜드 군도</t>
  </si>
  <si>
    <t>카페버디</t>
  </si>
  <si>
    <t>타지키스탄</t>
  </si>
  <si>
    <t>통가</t>
  </si>
  <si>
    <t>파카리안</t>
  </si>
  <si>
    <t>카자흐스탄</t>
  </si>
  <si>
    <t>그루지아</t>
  </si>
  <si>
    <t>나미비아</t>
  </si>
  <si>
    <t>네덜란드령앤틸리스제도</t>
  </si>
  <si>
    <t>노폴크 아일랜드</t>
  </si>
  <si>
    <t>니우에</t>
  </si>
  <si>
    <t>라트비아</t>
  </si>
  <si>
    <t>리투아니아</t>
  </si>
  <si>
    <t>마케도니아</t>
  </si>
  <si>
    <t>마티니크</t>
  </si>
  <si>
    <t>메요트</t>
  </si>
  <si>
    <t>몬트세라트</t>
  </si>
  <si>
    <t>불령 리유니온,코모도 제도</t>
  </si>
  <si>
    <t>불령 폴리네시아</t>
  </si>
  <si>
    <t xml:space="preserve">상투메프린시페 </t>
  </si>
  <si>
    <t>세인트 루시아</t>
  </si>
  <si>
    <t>슬로바키아</t>
  </si>
  <si>
    <t>안티가 바부다</t>
  </si>
  <si>
    <t>에리트리아</t>
  </si>
  <si>
    <t>왈라스 &amp; 퓨투나 군도</t>
  </si>
  <si>
    <t>크로아티아</t>
  </si>
  <si>
    <t>크리스마스 아일랜드</t>
  </si>
  <si>
    <t>동티모르</t>
  </si>
  <si>
    <t>팔라우</t>
  </si>
  <si>
    <t>허드 앤 맥도날드 군도</t>
  </si>
  <si>
    <t>몬테네그로</t>
  </si>
  <si>
    <t>은행</t>
    <phoneticPr fontId="4" type="noConversion"/>
  </si>
  <si>
    <t>거주구분</t>
    <phoneticPr fontId="4" type="noConversion"/>
  </si>
  <si>
    <t>거주자</t>
  </si>
  <si>
    <t>거주자</t>
    <phoneticPr fontId="4" type="noConversion"/>
  </si>
  <si>
    <t>비거주자</t>
    <phoneticPr fontId="4" type="noConversion"/>
  </si>
  <si>
    <t>교수(외부)</t>
  </si>
  <si>
    <t>교수(외부)</t>
    <phoneticPr fontId="4" type="noConversion"/>
  </si>
  <si>
    <t>부교수(외부)</t>
    <phoneticPr fontId="4" type="noConversion"/>
  </si>
  <si>
    <t>조교수(외부)</t>
    <phoneticPr fontId="4" type="noConversion"/>
  </si>
  <si>
    <t>연구원(외부)</t>
    <phoneticPr fontId="4" type="noConversion"/>
  </si>
  <si>
    <t>박사(외부)</t>
    <phoneticPr fontId="4" type="noConversion"/>
  </si>
  <si>
    <t>석사(외부)</t>
    <phoneticPr fontId="4" type="noConversion"/>
  </si>
  <si>
    <t>학사(외부)</t>
    <phoneticPr fontId="4" type="noConversion"/>
  </si>
  <si>
    <t>Written Oath &amp; Personal information Utillization Agreement</t>
    <phoneticPr fontId="4" type="noConversion"/>
  </si>
  <si>
    <t>목적(활용내용)</t>
    <phoneticPr fontId="4" type="noConversion"/>
  </si>
  <si>
    <t>비거주자</t>
  </si>
  <si>
    <t>○○○○○(기관명)</t>
    <phoneticPr fontId="4" type="noConversion"/>
  </si>
  <si>
    <t>제조사</t>
    <phoneticPr fontId="4" type="noConversion"/>
  </si>
  <si>
    <t>제작국가</t>
    <phoneticPr fontId="4" type="noConversion"/>
  </si>
  <si>
    <t>  &lt;근거서류&gt;  1. 용도설명서,  2. 국문 및 영문 규격서,  3. 연구계획서</t>
    <phoneticPr fontId="4" type="noConversion"/>
  </si>
  <si>
    <t>※ 해당란에 "√" 반드시 표기</t>
    <phoneticPr fontId="4" type="noConversion"/>
  </si>
  <si>
    <t>모델명</t>
    <phoneticPr fontId="4" type="noConversion"/>
  </si>
  <si>
    <t>수량</t>
    <phoneticPr fontId="4" type="noConversion"/>
  </si>
  <si>
    <t>중앙구매</t>
    <phoneticPr fontId="4" type="noConversion"/>
  </si>
  <si>
    <t>공통서류</t>
    <phoneticPr fontId="4" type="noConversion"/>
  </si>
  <si>
    <t>거래명세서 등 증빙서류</t>
    <phoneticPr fontId="4" type="noConversion"/>
  </si>
  <si>
    <t>수의계약사유서</t>
    <phoneticPr fontId="4" type="noConversion"/>
  </si>
  <si>
    <t>①일반</t>
    <phoneticPr fontId="4" type="noConversion"/>
  </si>
  <si>
    <t>②공개입찰</t>
    <phoneticPr fontId="4" type="noConversion"/>
  </si>
  <si>
    <t>③수의계약</t>
    <phoneticPr fontId="4" type="noConversion"/>
  </si>
  <si>
    <t>수의계약 사유서(내자구매)</t>
    <phoneticPr fontId="21" type="noConversion"/>
  </si>
  <si>
    <t>수의계약 사유서(외자구매)</t>
    <phoneticPr fontId="21" type="noConversion"/>
  </si>
  <si>
    <t>연구과제명</t>
    <phoneticPr fontId="21" type="noConversion"/>
  </si>
  <si>
    <t>물품명</t>
    <phoneticPr fontId="4" type="noConversion"/>
  </si>
  <si>
    <t>업체명</t>
    <phoneticPr fontId="21" type="noConversion"/>
  </si>
  <si>
    <t>업체연락처</t>
    <phoneticPr fontId="21" type="noConversion"/>
  </si>
  <si>
    <t>물품명</t>
    <phoneticPr fontId="21" type="noConversion"/>
  </si>
  <si>
    <t>국내대리점(회사명)</t>
    <phoneticPr fontId="4" type="noConversion"/>
  </si>
  <si>
    <t>전화/Fax</t>
    <phoneticPr fontId="4" type="noConversion"/>
  </si>
  <si>
    <t>1. 사유</t>
    <phoneticPr fontId="21" type="noConversion"/>
  </si>
  <si>
    <t>공급자(회사명)</t>
    <phoneticPr fontId="4" type="noConversion"/>
  </si>
  <si>
    <t>제작자(회사명)</t>
    <phoneticPr fontId="4" type="noConversion"/>
  </si>
  <si>
    <t>2. 관련 법규</t>
    <phoneticPr fontId="21" type="noConversion"/>
  </si>
  <si>
    <t>3. 기 보유장비 현황</t>
    <phoneticPr fontId="21" type="noConversion"/>
  </si>
  <si>
    <t>장비명</t>
    <phoneticPr fontId="21" type="noConversion"/>
  </si>
  <si>
    <t>구입연도</t>
    <phoneticPr fontId="21" type="noConversion"/>
  </si>
  <si>
    <t>보유대수</t>
    <phoneticPr fontId="21" type="noConversion"/>
  </si>
  <si>
    <t>자산번호</t>
    <phoneticPr fontId="21" type="noConversion"/>
  </si>
  <si>
    <t>위와 같이 수의계약을 요청하오니 처리하여 주시기 바랍니다.</t>
    <phoneticPr fontId="21" type="noConversion"/>
  </si>
  <si>
    <t xml:space="preserve">연구책임자 : </t>
    <phoneticPr fontId="21" type="noConversion"/>
  </si>
  <si>
    <t xml:space="preserve">관리기관장 : </t>
    <phoneticPr fontId="21" type="noConversion"/>
  </si>
  <si>
    <t>수의계약 내용</t>
    <phoneticPr fontId="21" type="noConversion"/>
  </si>
  <si>
    <t>구매 규격서
COMMODITY DESCRIPTION</t>
    <phoneticPr fontId="21" type="noConversion"/>
  </si>
  <si>
    <t>○○○(성명)</t>
    <phoneticPr fontId="4" type="noConversion"/>
  </si>
  <si>
    <t>서울시 관악구 관악로 1</t>
    <phoneticPr fontId="4" type="noConversion"/>
  </si>
  <si>
    <t>부터</t>
    <phoneticPr fontId="4" type="noConversion"/>
  </si>
  <si>
    <t>서울시 관악구 봉천로 1</t>
    <phoneticPr fontId="4" type="noConversion"/>
  </si>
  <si>
    <t>서울시 관악구 봉천로 2</t>
    <phoneticPr fontId="4" type="noConversion"/>
  </si>
  <si>
    <t>010-123-4567</t>
    <phoneticPr fontId="4" type="noConversion"/>
  </si>
  <si>
    <t>연구보조원</t>
    <phoneticPr fontId="4" type="noConversion"/>
  </si>
  <si>
    <t>hh:mm</t>
    <phoneticPr fontId="4" type="noConversion"/>
  </si>
  <si>
    <t>yymmdd</t>
    <phoneticPr fontId="4" type="noConversion"/>
  </si>
  <si>
    <t>n</t>
    <phoneticPr fontId="4" type="noConversion"/>
  </si>
  <si>
    <t>○○○○○○○○○○</t>
    <phoneticPr fontId="4" type="noConversion"/>
  </si>
  <si>
    <t>123-45678910</t>
    <phoneticPr fontId="4" type="noConversion"/>
  </si>
  <si>
    <t>○○○○○○</t>
    <phoneticPr fontId="4" type="noConversion"/>
  </si>
  <si>
    <t>yymmdd ~ yymmdd</t>
    <phoneticPr fontId="4" type="noConversion"/>
  </si>
  <si>
    <t>교육출장</t>
    <phoneticPr fontId="4" type="noConversion"/>
  </si>
  <si>
    <t>회의참석</t>
    <phoneticPr fontId="4" type="noConversion"/>
  </si>
  <si>
    <t>기타</t>
    <phoneticPr fontId="4" type="noConversion"/>
  </si>
  <si>
    <t>출장형태</t>
    <phoneticPr fontId="4" type="noConversion"/>
  </si>
  <si>
    <t>대면</t>
  </si>
  <si>
    <t>내국인</t>
  </si>
  <si>
    <t>회</t>
  </si>
  <si>
    <t>연구활동비</t>
    <phoneticPr fontId="4" type="noConversion"/>
  </si>
  <si>
    <t>연구비카드 발급 이전 부득이한 회의 개최</t>
    <phoneticPr fontId="4" type="noConversion"/>
  </si>
  <si>
    <t>국가연구개발사업 간접비</t>
  </si>
  <si>
    <t>◎ 총 연구비에 간접비가 포함된 경우 편성해야 하는 간접비는 얼마일까?</t>
    <phoneticPr fontId="62" type="noConversion"/>
  </si>
  <si>
    <t>타 기관 소속</t>
    <phoneticPr fontId="4" type="noConversion"/>
  </si>
  <si>
    <t>을
(연구책임자)</t>
    <phoneticPr fontId="4" type="noConversion"/>
  </si>
  <si>
    <t>(인)</t>
    <phoneticPr fontId="4" type="noConversion"/>
  </si>
  <si>
    <t>(인)</t>
    <phoneticPr fontId="4" type="noConversion"/>
  </si>
  <si>
    <t>(인)</t>
    <phoneticPr fontId="4" type="noConversion"/>
  </si>
  <si>
    <t>(인)</t>
    <phoneticPr fontId="4" type="noConversion"/>
  </si>
  <si>
    <t>(인)</t>
    <phoneticPr fontId="4" type="noConversion"/>
  </si>
  <si>
    <t>(Signiture)</t>
    <phoneticPr fontId="4" type="noConversion"/>
  </si>
  <si>
    <t>(인)</t>
    <phoneticPr fontId="4" type="noConversion"/>
  </si>
  <si>
    <t>도서구입비</t>
    <phoneticPr fontId="4" type="noConversion"/>
  </si>
  <si>
    <t>학회등록비·도서구입비</t>
    <phoneticPr fontId="4" type="noConversion"/>
  </si>
  <si>
    <t>학회등록비</t>
    <phoneticPr fontId="4" type="noConversion"/>
  </si>
  <si>
    <t>학술행사등록사용내역서</t>
    <phoneticPr fontId="4" type="noConversion"/>
  </si>
  <si>
    <t>기타 증빙서류</t>
    <phoneticPr fontId="4" type="noConversion"/>
  </si>
  <si>
    <t>주말·휴일 회의 사전 품의서</t>
    <phoneticPr fontId="4" type="noConversion"/>
  </si>
  <si>
    <t>주말·휴일 회의 사전 품의서 / 참석자 서명부</t>
    <phoneticPr fontId="4" type="noConversion"/>
  </si>
  <si>
    <t>일 근무,</t>
    <phoneticPr fontId="4" type="noConversion"/>
  </si>
  <si>
    <t>주휴일 매주</t>
    <phoneticPr fontId="4" type="noConversion"/>
  </si>
  <si>
    <t xml:space="preserve">④ "병"은 원 소속기관 "갑"에서의 과제 수행을 원칙으로 한다. 다만, "병"이 "갑"과 체결한 고용계약 기간 중에 서울대학교 타 기관 </t>
    <phoneticPr fontId="4" type="noConversion"/>
  </si>
  <si>
    <t>급여충당금이 별도로 계상되어 있는지 확인하여야 한다.</t>
    <phoneticPr fontId="4" type="noConversion"/>
  </si>
  <si>
    <t>③ “갑”은 “병”에게 갑이 정한 인건비 지급일에 소득세와 4대 보험 등 사회보장성 보험료의 개인부담금을</t>
    <phoneticPr fontId="4" type="noConversion"/>
  </si>
  <si>
    <t>연구과제를 참여하게 될 경우 "갑"과 "을"에게 관련사실을 지체없이 통보하고, &lt;연구과제참여합의서&gt;를 추가 작성하여야 한다.</t>
    <phoneticPr fontId="4" type="noConversion"/>
  </si>
  <si>
    <t>1.학생연구자 인적사항</t>
    <phoneticPr fontId="62" type="noConversion"/>
  </si>
  <si>
    <t>성명</t>
    <phoneticPr fontId="62" type="noConversion"/>
  </si>
  <si>
    <t>학번</t>
    <phoneticPr fontId="62" type="noConversion"/>
  </si>
  <si>
    <t>생년월일</t>
    <phoneticPr fontId="62" type="noConversion"/>
  </si>
  <si>
    <t>소속
(학과명)</t>
    <phoneticPr fontId="62" type="noConversion"/>
  </si>
  <si>
    <t>과정 및 학기</t>
    <phoneticPr fontId="62" type="noConversion"/>
  </si>
  <si>
    <t>과정</t>
    <phoneticPr fontId="62" type="noConversion"/>
  </si>
  <si>
    <t>학기</t>
    <phoneticPr fontId="62" type="noConversion"/>
  </si>
  <si>
    <t>박사</t>
  </si>
  <si>
    <t>재학</t>
  </si>
  <si>
    <t>국가연구자번호</t>
    <phoneticPr fontId="62" type="noConversion"/>
  </si>
  <si>
    <t>주소</t>
    <phoneticPr fontId="62" type="noConversion"/>
  </si>
  <si>
    <t>연락처</t>
    <phoneticPr fontId="62" type="noConversion"/>
  </si>
  <si>
    <t>(휴대전화번호)</t>
    <phoneticPr fontId="62" type="noConversion"/>
  </si>
  <si>
    <t>(E-mail)</t>
    <phoneticPr fontId="62" type="noConversion"/>
  </si>
  <si>
    <t>2. 연구참여정보</t>
    <phoneticPr fontId="62" type="noConversion"/>
  </si>
  <si>
    <t xml:space="preserve">  가. 연구참여기간: </t>
    <phoneticPr fontId="62" type="noConversion"/>
  </si>
  <si>
    <t>20  .    .    .  ~  20  .    .    .</t>
    <phoneticPr fontId="62" type="noConversion"/>
  </si>
  <si>
    <t xml:space="preserve">  나. 담당업무(역할):</t>
    <phoneticPr fontId="62" type="noConversion"/>
  </si>
  <si>
    <t xml:space="preserve">  다. 계정별 월 학생인건비 지급액 및 지급률</t>
    <phoneticPr fontId="62" type="noConversion"/>
  </si>
  <si>
    <t>구분</t>
    <phoneticPr fontId="62" type="noConversion"/>
  </si>
  <si>
    <t>연구개발기관계정
균등지급</t>
    <phoneticPr fontId="62" type="noConversion"/>
  </si>
  <si>
    <t>연구책임자 계정 
차등지급</t>
    <phoneticPr fontId="62" type="noConversion"/>
  </si>
  <si>
    <t>합계
(세금 포함)</t>
    <phoneticPr fontId="62" type="noConversion"/>
  </si>
  <si>
    <t>지급액</t>
    <phoneticPr fontId="62" type="noConversion"/>
  </si>
  <si>
    <t>지급률*</t>
    <phoneticPr fontId="62" type="noConversion"/>
  </si>
  <si>
    <t xml:space="preserve">  라. 학생인건비 지급일: 매월 25일</t>
    <phoneticPr fontId="62" type="noConversion"/>
  </si>
  <si>
    <t xml:space="preserve">  마. 지급방법: 학생연구자 명의 예금통장에 입금</t>
    <phoneticPr fontId="62" type="noConversion"/>
  </si>
  <si>
    <t xml:space="preserve">    ※ 참여중단, 종료 시 중단 종료일까지 참여한 업무 일(월 등) 수에 대해 일할(월할 등) 계산하여 지급함</t>
    <phoneticPr fontId="62" type="noConversion"/>
  </si>
  <si>
    <t xml:space="preserve">  바. 연구개발기관계정의 계정책임자(해당사항 없음)</t>
    <phoneticPr fontId="62" type="noConversion"/>
  </si>
  <si>
    <t>성명</t>
    <phoneticPr fontId="62" type="noConversion"/>
  </si>
  <si>
    <t>직급</t>
    <phoneticPr fontId="62" type="noConversion"/>
  </si>
  <si>
    <t>연락처</t>
    <phoneticPr fontId="62" type="noConversion"/>
  </si>
  <si>
    <t>(연구실)</t>
    <phoneticPr fontId="62" type="noConversion"/>
  </si>
  <si>
    <t>(E-mail)</t>
    <phoneticPr fontId="62" type="noConversion"/>
  </si>
  <si>
    <t xml:space="preserve">  사. 연구책임자계정의 계정책임자</t>
    <phoneticPr fontId="62" type="noConversion"/>
  </si>
  <si>
    <t>소속
(학과명)</t>
    <phoneticPr fontId="62" type="noConversion"/>
  </si>
  <si>
    <t>직급</t>
    <phoneticPr fontId="62" type="noConversion"/>
  </si>
  <si>
    <t>(연구실)</t>
    <phoneticPr fontId="62" type="noConversion"/>
  </si>
  <si>
    <t>3. 기타 확약사항</t>
    <phoneticPr fontId="62" type="noConversion"/>
  </si>
  <si>
    <t>학생연구자:</t>
    <phoneticPr fontId="62" type="noConversion"/>
  </si>
  <si>
    <t>(서명 또는 인)</t>
    <phoneticPr fontId="62" type="noConversion"/>
  </si>
  <si>
    <t>연구책임자계정의 계정책임자:</t>
    <phoneticPr fontId="62" type="noConversion"/>
  </si>
  <si>
    <t>(서명 또는 인)</t>
    <phoneticPr fontId="62" type="noConversion"/>
  </si>
  <si>
    <t>연구개발기관계정의 계정책임자(해당사항 없음):</t>
    <phoneticPr fontId="62" type="noConversion"/>
  </si>
  <si>
    <t>학생인건비통합관리기관장(산학협력단장):</t>
    <phoneticPr fontId="62" type="noConversion"/>
  </si>
  <si>
    <t xml:space="preserve">                     (                                                                                                                                                   )</t>
    <phoneticPr fontId="62" type="noConversion"/>
  </si>
  <si>
    <t>※ 필수조항 수정 불가, 인건비 지출 시 확인 예정</t>
    <phoneticPr fontId="4" type="noConversion"/>
  </si>
  <si>
    <t>  ※ 다수과제에 참여하는 경우 “을”(연구책임자)을 모두 명시</t>
    <phoneticPr fontId="4" type="noConversion"/>
  </si>
  <si>
    <t xml:space="preserve">  2. 근로계약기간이 만료되면 근로계약은 당연히 종료된다.</t>
    <phoneticPr fontId="4" type="noConversion"/>
  </si>
  <si>
    <t>② 근로계약기간이 만료되면 근로계약은 당연히 종료된다. 다만, 새롭게 근로계약이 갱신된 경우에는 그러지 아니하다.</t>
    <phoneticPr fontId="4" type="noConversion"/>
  </si>
  <si>
    <t xml:space="preserve">  1. 소정 근로 시간 :</t>
    <phoneticPr fontId="4" type="noConversion"/>
  </si>
  <si>
    <t xml:space="preserve">  1. “병”의 계약기간은</t>
    <phoneticPr fontId="4" type="noConversion"/>
  </si>
  <si>
    <t xml:space="preserve">  2. 근무일/휴일 :  주</t>
    <phoneticPr fontId="4" type="noConversion"/>
  </si>
  <si>
    <t>○○○</t>
    <phoneticPr fontId="4" type="noConversion"/>
  </si>
  <si>
    <t>○</t>
    <phoneticPr fontId="4" type="noConversion"/>
  </si>
  <si>
    <t>○</t>
    <phoneticPr fontId="4" type="noConversion"/>
  </si>
  <si>
    <t xml:space="preserve">  3. 임금:</t>
    <phoneticPr fontId="4" type="noConversion"/>
  </si>
  <si>
    <t>월급</t>
    <phoneticPr fontId="4" type="noConversion"/>
  </si>
  <si>
    <t xml:space="preserve">     (임금은 계약일 당시 책정된 연구비의 규모에 따른 것이며, 연구비 지원 금액의 변경에 따라 증감 할 수 있다.)</t>
    <phoneticPr fontId="4" type="noConversion"/>
  </si>
  <si>
    <t xml:space="preserve">  6. 지급방법 : 은행계좌로 입금</t>
    <phoneticPr fontId="4" type="noConversion"/>
  </si>
  <si>
    <t xml:space="preserve">  7. 임금지급일: 매월</t>
    <phoneticPr fontId="4" type="noConversion"/>
  </si>
  <si>
    <t>일(휴일의 경우는 전일 지급)</t>
    <phoneticPr fontId="4" type="noConversion"/>
  </si>
  <si>
    <t xml:space="preserve">  8. 휴가 및 휴일: 근로기준법에서 정하는 바에 따라 부여함</t>
    <phoneticPr fontId="4" type="noConversion"/>
  </si>
  <si>
    <t xml:space="preserve">  9. 수행업무: 참여연구과제와 관련된 지원업무(회계 및 정산 등)</t>
    <phoneticPr fontId="4" type="noConversion"/>
  </si>
  <si>
    <t>○시 ○분 ∼ ○시 ○분까지</t>
    <phoneticPr fontId="4" type="noConversion"/>
  </si>
  <si>
    <t>(휴게시간: ○시 ○분∼○시 ○분까지)</t>
    <phoneticPr fontId="4" type="noConversion"/>
  </si>
  <si>
    <t>③ "병"이 참여하는 연구과제 및 참여기간은 아래와 같으며, 총 참여기간은 2년 미만으로 한다.</t>
    <phoneticPr fontId="4" type="noConversion"/>
  </si>
  <si>
    <t>연번</t>
    <phoneticPr fontId="4" type="noConversion"/>
  </si>
  <si>
    <t>① 계약기간</t>
    <phoneticPr fontId="4" type="noConversion"/>
  </si>
  <si>
    <t>①</t>
    <phoneticPr fontId="4" type="noConversion"/>
  </si>
  <si>
    <t>② 근로조건</t>
    <phoneticPr fontId="4" type="noConversion"/>
  </si>
  <si>
    <t>②</t>
    <phoneticPr fontId="4" type="noConversion"/>
  </si>
  <si>
    <t>과제정보</t>
    <phoneticPr fontId="4" type="noConversion"/>
  </si>
  <si>
    <t>인건비</t>
    <phoneticPr fontId="4" type="noConversion"/>
  </si>
  <si>
    <t>연구책임자</t>
    <phoneticPr fontId="4" type="noConversion"/>
  </si>
  <si>
    <t>과제명</t>
    <phoneticPr fontId="4" type="noConversion"/>
  </si>
  <si>
    <t>과제번호</t>
    <phoneticPr fontId="4" type="noConversion"/>
  </si>
  <si>
    <t>연구기간</t>
    <phoneticPr fontId="4" type="noConversion"/>
  </si>
  <si>
    <t>참여기간</t>
    <phoneticPr fontId="4" type="noConversion"/>
  </si>
  <si>
    <t>(당해연도)</t>
    <phoneticPr fontId="4" type="noConversion"/>
  </si>
  <si>
    <t>(다년도)</t>
    <phoneticPr fontId="4" type="noConversion"/>
  </si>
  <si>
    <t>*3개 이상 과제 참여 시 추가하여 작성</t>
    <phoneticPr fontId="4" type="noConversion"/>
  </si>
  <si>
    <t xml:space="preserve">※ [복수과제 참여 시] </t>
    <phoneticPr fontId="4" type="noConversion"/>
  </si>
  <si>
    <t xml:space="preserve">※ [단일과제 참여 시] </t>
    <phoneticPr fontId="4" type="noConversion"/>
  </si>
  <si>
    <t>③ "병"이 참여하는 연구과제 및 참여기간은 아래와 같으며, 계약 기간은 참여 기간 종료일 이내로 한다.</t>
    <phoneticPr fontId="4" type="noConversion"/>
  </si>
  <si>
    <t xml:space="preserve">① 과제별 지급내역은 서울대학교 연구행정통합관리시스템에서 발급되는 “참여연구원 확인서”로 갈음한다. </t>
    <phoneticPr fontId="4" type="noConversion"/>
  </si>
  <si>
    <t xml:space="preserve">③ “갑”은 “병”에게 갑이 정한 인건비 지급일에 소득세와 4대 보험 등 사회보장성 보험료의 개인부담금을 원천징수 후 지급한다. </t>
    <phoneticPr fontId="4" type="noConversion"/>
  </si>
  <si>
    <t>⑥ “갑”과 “을”은 제3조제2항에 명시된 업무 외의 기관운영에 필요한 상시 업무를 “병”에게 지시할 수 없다.</t>
    <phoneticPr fontId="4" type="noConversion"/>
  </si>
  <si>
    <t>제5조 (“병”의 의무)</t>
    <phoneticPr fontId="4" type="noConversion"/>
  </si>
  <si>
    <t xml:space="preserve">① “병”은 본 계약서에 정한 기간 동안 “갑”이 지정하는 연구업무를 충실히 이행하여야 한다. </t>
    <phoneticPr fontId="4" type="noConversion"/>
  </si>
  <si>
    <t>② “병”은 참여 계약 중 직무와 관련하여 취득한 각종 비밀을 참여 계약 중 또는 참여계약 종료 후에도 누설하여서는 아니 된다.</t>
    <phoneticPr fontId="4" type="noConversion"/>
  </si>
  <si>
    <t>③ “병”은 본 계약서에서 정한 기간 동안 연구업무를 수행함으로 인하여 발생한 연구결과를 “갑”에게 귀속시켜야 한다.</t>
    <phoneticPr fontId="4" type="noConversion"/>
  </si>
  <si>
    <t xml:space="preserve">④ “병”은 원 소속기관 “갑”에서의 과제 수행을 원칙으로 한다. 다만, “병”이 “갑”과 체결한 고용계약 기간 중에 서울대학교 타 기관 </t>
    <phoneticPr fontId="4" type="noConversion"/>
  </si>
  <si>
    <t>그 이용, 그리고 제 3자에 대한 제공에 동의하는 경우에 본 계약서의 개인정보 제공, 활용 및 제3자 제공 동의 서명 란에 서명 또는</t>
    <phoneticPr fontId="4" type="noConversion"/>
  </si>
  <si>
    <t xml:space="preserve"> 3. “병”은 자신의 개인정보(고유식별정보 포함) 수집에 동의하지 않을 수 있으나, 이 경우 인건비 및 수당지급이 제한될 수 있다.</t>
    <phoneticPr fontId="4" type="noConversion"/>
  </si>
  <si>
    <t>제8조 (계약해지 및 변경)</t>
    <phoneticPr fontId="4" type="noConversion"/>
  </si>
  <si>
    <t xml:space="preserve"> 1. 본 근로계약을 위반하는 경우</t>
    <phoneticPr fontId="4" type="noConversion"/>
  </si>
  <si>
    <t xml:space="preserve"> 2. 질병, 실종 또는 형사소추 등으로 연구업무 수행이 불가능한 경우</t>
    <phoneticPr fontId="4" type="noConversion"/>
  </si>
  <si>
    <t xml:space="preserve"> 3. 연구업무를 성실히 준수하지 아니하는 경우</t>
    <phoneticPr fontId="4" type="noConversion"/>
  </si>
  <si>
    <t xml:space="preserve">② 연구비 지원기관으로부터 연구비 지원이 중단되거나, 연구비 지원규모가 변경된 경우 “갑”은“병”과의 근로계약을 해지 또는 </t>
    <phoneticPr fontId="4" type="noConversion"/>
  </si>
  <si>
    <t xml:space="preserve">    계약 내용을 일부 변경할 수 있으며 “병”은 이에 따른다. </t>
    <phoneticPr fontId="4" type="noConversion"/>
  </si>
  <si>
    <t xml:space="preserve">③ 본 계약서에서 정한 연구과제 수행기간 내에 “병”이 추가 연구과제를 수행하게 되는 경우 “갑”은 추가 내용을 포함하여 </t>
    <phoneticPr fontId="4" type="noConversion"/>
  </si>
  <si>
    <t xml:space="preserve">    변경계약서를 다시 작성할 수 있다. </t>
    <phoneticPr fontId="4" type="noConversion"/>
  </si>
  <si>
    <t>제9조 (퇴직금)</t>
    <phoneticPr fontId="4" type="noConversion"/>
  </si>
  <si>
    <t xml:space="preserve">① 퇴직금은 근로자퇴직급여보장법에 따라 소속 연구기관에서 1년 이상 근무하여야 발생한다. </t>
    <phoneticPr fontId="4" type="noConversion"/>
  </si>
  <si>
    <t xml:space="preserve">    연구기간 종료시점에 퇴직급여 충당금을 적립한다. </t>
    <phoneticPr fontId="4" type="noConversion"/>
  </si>
  <si>
    <t>제10조 (기타사항)</t>
    <phoneticPr fontId="4" type="noConversion"/>
  </si>
  <si>
    <t xml:space="preserve">    각각 1통씩 보관한다.</t>
    <phoneticPr fontId="4" type="noConversion"/>
  </si>
  <si>
    <t>※ 다수과제에 참여하는 경우 “을”(연구책임자)을 모두 명시</t>
  </si>
  <si>
    <t>계약내용 고지 확인서</t>
  </si>
  <si>
    <t xml:space="preserve">- 고지내용 및 동의사항 - </t>
  </si>
  <si>
    <t xml:space="preserve">   ▪ 필수정보 : 성명, 소속, 직위, 계좌번호, 주민등록번호(고유식별정보), 국적, 전화, 이메일</t>
    <phoneticPr fontId="4" type="noConversion"/>
  </si>
  <si>
    <t xml:space="preserve">   ▪ 보유목적 : 인건비 및 수당 지급, 세무신고, 경력증명서 발급 등 연구관리 제반사항</t>
    <phoneticPr fontId="4" type="noConversion"/>
  </si>
  <si>
    <t xml:space="preserve">   ▪ 필수정보 : 성명, 소속, 직위, 계좌번호, 주민등록번호(고유식별정보), 국적, 전화, 이메일</t>
    <phoneticPr fontId="4" type="noConversion"/>
  </si>
  <si>
    <t xml:space="preserve">   ▪ “병”이 사전에 제3자 제공 및 공개에 동의한 경우</t>
    <phoneticPr fontId="4" type="noConversion"/>
  </si>
  <si>
    <t xml:space="preserve">    ▪ 법령 등에 의해 제공이 요구되는 경우</t>
    <phoneticPr fontId="4" type="noConversion"/>
  </si>
  <si>
    <t xml:space="preserve">   ▪ 서비스의 제공에 관한 계약의 이행을 위하여 필요한 개인정보로서 경제적/기술적인 사유로 통상의 동의를 받는 것이 현저히 </t>
    <phoneticPr fontId="4" type="noConversion"/>
  </si>
  <si>
    <t xml:space="preserve">    ▪ 통계작성 및 학술연구 등의 목적을 위하여 필요한 경우로서 특정 개인을 알아 볼 수 없는 형태로 개인정보를 제공하는 경우</t>
    <phoneticPr fontId="4" type="noConversion"/>
  </si>
  <si>
    <t xml:space="preserve">   ▪ “병”이 사전에 제3자 제공 및 공개에 동의한 경우</t>
    <phoneticPr fontId="4" type="noConversion"/>
  </si>
  <si>
    <t xml:space="preserve">    ▪ 법령 등에 의해 제공이 요구되는 경우</t>
    <phoneticPr fontId="4" type="noConversion"/>
  </si>
  <si>
    <t xml:space="preserve">   ▪ 서비스의 제공에 관한 계약의 이행을 위하여 필요한 개인정보로서 경제적/기술적인 사유로 통상의 동의를 받는 것이 현저히 </t>
    <phoneticPr fontId="4" type="noConversion"/>
  </si>
  <si>
    <t xml:space="preserve">   ▪ 보유목적 : 인건비 및 수당 지급, 세무신고, 경력증명서 발급 등 연구관리 제반사항</t>
    <phoneticPr fontId="4" type="noConversion"/>
  </si>
  <si>
    <t xml:space="preserve">   ▪ “병”이 사전에 제3자 제공 및 공개에 동의한 경우</t>
    <phoneticPr fontId="4" type="noConversion"/>
  </si>
  <si>
    <t xml:space="preserve">  4. 해당 계약은 「기간제 및 단시간근로자 보호 등에 관한 법률」(이하 “기간제법”이라 함) 제4조제1항 단서 제1호</t>
    <phoneticPr fontId="4" type="noConversion"/>
  </si>
  <si>
    <t xml:space="preserve">  3. “병”은 제3항의 연구과제수행을 위하여 근로계약을 체결하며, 근로계약 기간 이내라도 해당 사업의 완료(종료)로</t>
    <phoneticPr fontId="4" type="noConversion"/>
  </si>
  <si>
    <t xml:space="preserve">     근로관계가 종료될 수 있다. </t>
    <phoneticPr fontId="4" type="noConversion"/>
  </si>
  <si>
    <r>
      <t xml:space="preserve">제6조(보안서약) </t>
    </r>
    <r>
      <rPr>
        <sz val="11"/>
        <color rgb="FF000000"/>
        <rFont val="함초롬바탕"/>
        <family val="1"/>
        <charset val="129"/>
      </rPr>
      <t>"병'은 연구에 참여할 경우 다음 사항을 준수할 것을 엄숙히 서약한다.</t>
    </r>
    <phoneticPr fontId="4" type="noConversion"/>
  </si>
  <si>
    <r>
      <t xml:space="preserve">제6조(보안서약) </t>
    </r>
    <r>
      <rPr>
        <sz val="11"/>
        <rFont val="함초롬바탕"/>
        <family val="1"/>
        <charset val="129"/>
      </rPr>
      <t>"병'은 연구에 참여할 경우 다음 사항을 준수할 것을 엄숙히 서약한다.</t>
    </r>
    <phoneticPr fontId="4" type="noConversion"/>
  </si>
  <si>
    <r>
      <t xml:space="preserve">제7조(개인정보 제공 및 활용 동의) </t>
    </r>
    <r>
      <rPr>
        <sz val="11"/>
        <color rgb="FF000000"/>
        <rFont val="함초롬바탕"/>
        <family val="1"/>
        <charset val="129"/>
      </rPr>
      <t xml:space="preserve">“병”은 아래의 내용을 세심하게 읽고 확인한 후 “갑”의 개인정보 및 고유식별정보의 수집과 </t>
    </r>
    <phoneticPr fontId="4" type="noConversion"/>
  </si>
  <si>
    <r>
      <t xml:space="preserve">제7조(개인정보 제공 및 활용 동의) </t>
    </r>
    <r>
      <rPr>
        <sz val="11"/>
        <color rgb="FF000000"/>
        <rFont val="함초롬바탕"/>
        <family val="1"/>
        <charset val="129"/>
      </rPr>
      <t xml:space="preserve">“병”은 아래의 내용을 세심하게 읽고 확인한 후 “갑”의 개인정보 및 고유식별정보의 수집과 </t>
    </r>
    <phoneticPr fontId="4" type="noConversion"/>
  </si>
  <si>
    <t>① 본 계약서에 규정되지 않은 사항은 ｢근로기준법｣ 등 근로관계 법령이 정하는 바에 따른다.</t>
    <phoneticPr fontId="4" type="noConversion"/>
  </si>
  <si>
    <r>
      <t>이와 관련하여 향후 이의제기 및 민·형사·기타 일체의 법률적 쟁송 등을 하지 아니함을 (</t>
    </r>
    <r>
      <rPr>
        <sz val="12"/>
        <color theme="8"/>
        <rFont val="함초롬바탕"/>
        <family val="1"/>
        <charset val="129"/>
      </rPr>
      <t xml:space="preserve"> 확약 </t>
    </r>
    <r>
      <rPr>
        <sz val="12"/>
        <color rgb="FF000000"/>
        <rFont val="함초롬바탕"/>
        <family val="1"/>
        <charset val="129"/>
      </rPr>
      <t>) 함.</t>
    </r>
    <phoneticPr fontId="4" type="noConversion"/>
  </si>
  <si>
    <r>
      <t xml:space="preserve">※ 고용(근로)계약 체결 대상: </t>
    </r>
    <r>
      <rPr>
        <b/>
        <u/>
        <sz val="12"/>
        <color rgb="FFFF0000"/>
        <rFont val="맑은 고딕"/>
        <family val="3"/>
        <charset val="129"/>
      </rPr>
      <t>소속이 없는 자</t>
    </r>
    <r>
      <rPr>
        <b/>
        <u/>
        <sz val="12"/>
        <color rgb="FF0000FF"/>
        <rFont val="맑은 고딕"/>
        <family val="3"/>
        <charset val="129"/>
      </rPr>
      <t xml:space="preserve">가 </t>
    </r>
    <r>
      <rPr>
        <b/>
        <u/>
        <sz val="12"/>
        <color rgb="FFFF0000"/>
        <rFont val="맑은 고딕"/>
        <family val="3"/>
        <charset val="129"/>
      </rPr>
      <t>1개월 이상</t>
    </r>
    <r>
      <rPr>
        <b/>
        <u/>
        <sz val="12"/>
        <color rgb="FF0000FF"/>
        <rFont val="맑은 고딕"/>
        <family val="3"/>
        <charset val="129"/>
      </rPr>
      <t xml:space="preserve"> 본교 연구과제에 참여 시</t>
    </r>
    <phoneticPr fontId="4" type="noConversion"/>
  </si>
  <si>
    <t xml:space="preserve">이라 함)은 상호간의 합의에 따라 아래와 같이 고용계약을 체결하고 이를 신의와 성실로서 준수할 것을 확약한다.  </t>
    <phoneticPr fontId="4" type="noConversion"/>
  </si>
  <si>
    <r>
      <t xml:space="preserve">   “사업의 완료 또는 특정한 업무의 완성에 필요한 기간을 정한 경우”에 해당한다. </t>
    </r>
    <r>
      <rPr>
        <b/>
        <sz val="11"/>
        <color rgb="FFFF0000"/>
        <rFont val="함초롬바탕"/>
        <family val="1"/>
        <charset val="129"/>
      </rPr>
      <t>[※제3조1항4목은 단일과제 참여시에만 기재]</t>
    </r>
    <phoneticPr fontId="4" type="noConversion"/>
  </si>
  <si>
    <t>원</t>
    <phoneticPr fontId="4" type="noConversion"/>
  </si>
  <si>
    <t xml:space="preserve">  5. 기타급여(제수당 등):     없음(        ),     있음(        )</t>
    <phoneticPr fontId="4" type="noConversion"/>
  </si>
  <si>
    <t xml:space="preserve">  4. 상여금:                       없음(        ),     있음(        )</t>
    <phoneticPr fontId="4" type="noConversion"/>
  </si>
  <si>
    <t>② “병”의 개인정보 제3자 제공에 대한 동의</t>
    <phoneticPr fontId="4" type="noConversion"/>
  </si>
  <si>
    <t>본 계약은 위에서 정한 근로계약기간을 한정적인 계약기간으로 설정한 기간한정계약으로써 “병”은 해당 내용을 인지하고, 당사자</t>
    <phoneticPr fontId="4" type="noConversion"/>
  </si>
  <si>
    <t>날인합니다.</t>
    <phoneticPr fontId="4" type="noConversion"/>
  </si>
  <si>
    <t xml:space="preserve">간에 자유의사로 체결하였음을 확인하며, 이후 본 계약에 위반되는 어떠한 민·형사상의 이의제기도 하지 않을 것임을 확인하고 </t>
    <phoneticPr fontId="4" type="noConversion"/>
  </si>
  <si>
    <t>[계약내용 고지 확인서] 단일‧다년도과제참여용</t>
    <phoneticPr fontId="4" type="noConversion"/>
  </si>
  <si>
    <t>[계약내용 고지 확인서] 복수과제참여용</t>
    <phoneticPr fontId="4" type="noConversion"/>
  </si>
  <si>
    <t>고용계약을 체결함에 있어, 아래의 내용에 대하여 계약당시 충분히 설명을 듣고 동의하여 계약을 체결하였습니다.</t>
    <phoneticPr fontId="4" type="noConversion"/>
  </si>
  <si>
    <t xml:space="preserve"> 가. 계약의 목적 </t>
    <phoneticPr fontId="4" type="noConversion"/>
  </si>
  <si>
    <r>
      <t xml:space="preserve">  - (                                  </t>
    </r>
    <r>
      <rPr>
        <i/>
        <sz val="12"/>
        <color rgb="FF437FC1"/>
        <rFont val="함초롬바탕"/>
        <family val="1"/>
        <charset val="129"/>
      </rPr>
      <t xml:space="preserve">과제명                              </t>
    </r>
    <r>
      <rPr>
        <sz val="12"/>
        <color rgb="FF000000"/>
        <rFont val="함초롬바탕"/>
        <family val="1"/>
        <charset val="129"/>
      </rPr>
      <t xml:space="preserve"> )연구과제 수행 지원을 위해 전속적으로 고용되어,</t>
    </r>
    <phoneticPr fontId="4" type="noConversion"/>
  </si>
  <si>
    <t xml:space="preserve"> 나. 계약 종료 </t>
    <phoneticPr fontId="4" type="noConversion"/>
  </si>
  <si>
    <t xml:space="preserve">    해당 연구과제 지원업무(회계, 정산 업무) 수행을 위함</t>
    <phoneticPr fontId="4" type="noConversion"/>
  </si>
  <si>
    <t xml:space="preserve">  - 연구과제 종료 시 고용계약이 종료되며, 근로계약 기간 이내라도 연구과제가 종료(완료)되는 경우 고용계약이</t>
    <phoneticPr fontId="4" type="noConversion"/>
  </si>
  <si>
    <t xml:space="preserve">    종료될 수 있음</t>
    <phoneticPr fontId="4" type="noConversion"/>
  </si>
  <si>
    <t xml:space="preserve">    ※ 기간제법 제4조제1항 “사업의 완료에 필요한 기간을 정한 경우”</t>
    <phoneticPr fontId="4" type="noConversion"/>
  </si>
  <si>
    <r>
      <t xml:space="preserve"> 다.</t>
    </r>
    <r>
      <rPr>
        <sz val="12"/>
        <color rgb="FF000000"/>
        <rFont val="함초롬바탕"/>
        <family val="1"/>
        <charset val="129"/>
      </rPr>
      <t xml:space="preserve"> 연봉은 최초계약 후 연 단위 조정, 조정 시 내역을 통보</t>
    </r>
    <phoneticPr fontId="4" type="noConversion"/>
  </si>
  <si>
    <r>
      <t xml:space="preserve"> 라</t>
    </r>
    <r>
      <rPr>
        <sz val="12"/>
        <color rgb="FF000000"/>
        <rFont val="함초롬바탕"/>
        <family val="1"/>
        <charset val="129"/>
      </rPr>
      <t>. 업무수행 과정에서 인지한 정보에 대하여 비밀엄수 의무 확인 및 계약종료 후 누설하거나 공개하지 아니하겠음.</t>
    </r>
    <phoneticPr fontId="4" type="noConversion"/>
  </si>
  <si>
    <t xml:space="preserve"> 본인은 상기 내용에 대하여 계약당시 충분히 고지 받고 고용계약을 체결하였으며, </t>
    <phoneticPr fontId="4" type="noConversion"/>
  </si>
  <si>
    <t>2020.   .   .</t>
    <phoneticPr fontId="4" type="noConversion"/>
  </si>
  <si>
    <t xml:space="preserve">생년월일     .      .                       서명                             (인)    </t>
    <phoneticPr fontId="4" type="noConversion"/>
  </si>
  <si>
    <t xml:space="preserve"> 가. 계약 종료 </t>
    <phoneticPr fontId="4" type="noConversion"/>
  </si>
  <si>
    <r>
      <t xml:space="preserve">  - 고용계약서에 명시된 계약기간은</t>
    </r>
    <r>
      <rPr>
        <i/>
        <u/>
        <sz val="12"/>
        <color theme="4"/>
        <rFont val="함초롬바탕"/>
        <family val="1"/>
        <charset val="129"/>
      </rPr>
      <t xml:space="preserve"> 20  .  .  . ~ 20  .  .  .</t>
    </r>
    <r>
      <rPr>
        <sz val="12"/>
        <color rgb="FF000000"/>
        <rFont val="함초롬바탕"/>
        <family val="1"/>
        <charset val="129"/>
      </rPr>
      <t>이며, 계약종료일 도래 시, 별도 통보 없이 고용계약은 종료됨</t>
    </r>
    <phoneticPr fontId="4" type="noConversion"/>
  </si>
  <si>
    <t xml:space="preserve">  - 계약기간 이내라도 담당 연구과제가 모두 종료(완료)되는 경우 고용계약이 종료될 수 있음</t>
    <phoneticPr fontId="4" type="noConversion"/>
  </si>
  <si>
    <t xml:space="preserve">     ※ 과제기간 연장에 따라 고용계약을 연장하는 경우에도 총 계약기간은 2년을 초과할 수 없음</t>
    <phoneticPr fontId="4" type="noConversion"/>
  </si>
  <si>
    <r>
      <t xml:space="preserve"> 나.</t>
    </r>
    <r>
      <rPr>
        <sz val="12"/>
        <color rgb="FF000000"/>
        <rFont val="함초롬바탕"/>
        <family val="1"/>
        <charset val="129"/>
      </rPr>
      <t xml:space="preserve"> 연봉은 최초계약 후 연 단위 조정, 조정 시 내역을 통보</t>
    </r>
    <phoneticPr fontId="4" type="noConversion"/>
  </si>
  <si>
    <r>
      <t xml:space="preserve"> 다</t>
    </r>
    <r>
      <rPr>
        <sz val="12"/>
        <color rgb="FF000000"/>
        <rFont val="함초롬바탕"/>
        <family val="1"/>
        <charset val="129"/>
      </rPr>
      <t>. 업무수행 과정에서 인지한 정보에 대하여 비밀엄수 의무 확인 및 계약종료 후 누설하거나 공개하지 아니하겠음.</t>
    </r>
    <phoneticPr fontId="4" type="noConversion"/>
  </si>
  <si>
    <t>거래명세서</t>
    <phoneticPr fontId="21" type="noConversion"/>
  </si>
  <si>
    <t>서울대학교 산학협력단</t>
    <phoneticPr fontId="21" type="noConversion"/>
  </si>
  <si>
    <t>공급자</t>
    <phoneticPr fontId="21" type="noConversion"/>
  </si>
  <si>
    <t>사업자번호</t>
    <phoneticPr fontId="21" type="noConversion"/>
  </si>
  <si>
    <t>119-82-03684</t>
    <phoneticPr fontId="21" type="noConversion"/>
  </si>
  <si>
    <t>상호(법인명)</t>
    <phoneticPr fontId="21" type="noConversion"/>
  </si>
  <si>
    <t>대표자</t>
    <phoneticPr fontId="21" type="noConversion"/>
  </si>
  <si>
    <t>주소</t>
    <phoneticPr fontId="21" type="noConversion"/>
  </si>
  <si>
    <t>서울특별시 관악구 관악로 1</t>
    <phoneticPr fontId="21" type="noConversion"/>
  </si>
  <si>
    <t>업태</t>
    <phoneticPr fontId="21" type="noConversion"/>
  </si>
  <si>
    <t>종목</t>
    <phoneticPr fontId="21" type="noConversion"/>
  </si>
  <si>
    <t>거래일자:</t>
  </si>
  <si>
    <t>start</t>
    <phoneticPr fontId="4" type="noConversion"/>
  </si>
  <si>
    <r>
      <rPr>
        <b/>
        <sz val="12"/>
        <rFont val="HY헤드라인M"/>
        <family val="1"/>
        <charset val="129"/>
      </rPr>
      <t>제품번호</t>
    </r>
    <r>
      <rPr>
        <b/>
        <sz val="11"/>
        <rFont val="HY헤드라인M"/>
        <family val="1"/>
        <charset val="129"/>
      </rPr>
      <t xml:space="preserve">
(해당시)</t>
    </r>
    <phoneticPr fontId="21" type="noConversion"/>
  </si>
  <si>
    <t>제품명</t>
    <phoneticPr fontId="21" type="noConversion"/>
  </si>
  <si>
    <t>수량</t>
    <phoneticPr fontId="21" type="noConversion"/>
  </si>
  <si>
    <t>단위</t>
    <phoneticPr fontId="21" type="noConversion"/>
  </si>
  <si>
    <t>단가</t>
    <phoneticPr fontId="21" type="noConversion"/>
  </si>
  <si>
    <t>공급가액</t>
    <phoneticPr fontId="21" type="noConversion"/>
  </si>
  <si>
    <t>세액</t>
    <phoneticPr fontId="21" type="noConversion"/>
  </si>
  <si>
    <t>합계</t>
    <phoneticPr fontId="21" type="noConversion"/>
  </si>
  <si>
    <t>계좌정보</t>
    <phoneticPr fontId="21" type="noConversion"/>
  </si>
  <si>
    <t>소속</t>
    <phoneticPr fontId="21" type="noConversion"/>
  </si>
  <si>
    <t>검수
확인자</t>
    <phoneticPr fontId="21" type="noConversion"/>
  </si>
  <si>
    <t>입금처</t>
    <phoneticPr fontId="21" type="noConversion"/>
  </si>
  <si>
    <t>담당자</t>
    <phoneticPr fontId="21" type="noConversion"/>
  </si>
  <si>
    <t>검수일</t>
    <phoneticPr fontId="21" type="noConversion"/>
  </si>
  <si>
    <t>담당자 
연락처</t>
    <phoneticPr fontId="21" type="noConversion"/>
  </si>
  <si>
    <t>나. 「국가연구개발혁신법」 제21조(국가연구개발사업 등의 보안)</t>
    <phoneticPr fontId="21" type="noConversion"/>
  </si>
  <si>
    <t>가. 「과학기술기본법」 제11조(국가연구개발사업의 추진)</t>
    <phoneticPr fontId="21" type="noConversion"/>
  </si>
  <si>
    <t>다. 「산업기술의 유출방지 및 보호에 관한 법률」 제12조(국가연구개발사업의 보호관리)</t>
    <phoneticPr fontId="21" type="noConversion"/>
  </si>
  <si>
    <t xml:space="preserve"> 1. 「과학기술기본법」 제11조(국가연구개발사업의 추진)</t>
    <phoneticPr fontId="21" type="noConversion"/>
  </si>
  <si>
    <t xml:space="preserve"> 2. 「국가연구개발혁신법」 제21조(국가연구개발사업 등의 보안)</t>
    <phoneticPr fontId="21" type="noConversion"/>
  </si>
  <si>
    <t xml:space="preserve"> 3. 「산업기술의 유출방지 및 보호에 관한 법률」 제12조(국가연구개발사업의 보호관리)</t>
    <phoneticPr fontId="21" type="noConversion"/>
  </si>
  <si>
    <t xml:space="preserve"> 4. 「서울대학교 연구원 임용 규정」 제6조(해임·해촉) 등 각종 서울대학교 학칙·규정</t>
    <phoneticPr fontId="21" type="noConversion"/>
  </si>
  <si>
    <t>라. 「서울대학교 연구원 임용 규정」 제6조(해임·해촉) 등 각종 서울대학교 학칙·규정</t>
    <phoneticPr fontId="21" type="noConversion"/>
  </si>
  <si>
    <t>▶ 수집한 개인정보는「서울대학교 연구비관리 규정」 제31조(관계서류의 보존)에 따라 5년간 보관합니다.</t>
    <phoneticPr fontId="4" type="noConversion"/>
  </si>
  <si>
    <t>연구자1</t>
    <phoneticPr fontId="4" type="noConversion"/>
  </si>
  <si>
    <t>연구자2</t>
    <phoneticPr fontId="4" type="noConversion"/>
  </si>
  <si>
    <t>연구자3</t>
  </si>
  <si>
    <t>연구자4</t>
  </si>
  <si>
    <t>연구자5</t>
  </si>
  <si>
    <t>참여연구자</t>
    <phoneticPr fontId="4" type="noConversion"/>
  </si>
  <si>
    <t>참여연구자</t>
    <phoneticPr fontId="4" type="noConversion"/>
  </si>
  <si>
    <t>참여연구자</t>
    <phoneticPr fontId="4" type="noConversion"/>
  </si>
  <si>
    <t>인건비계상률</t>
    <phoneticPr fontId="4" type="noConversion"/>
  </si>
  <si>
    <t>외부참여연구자 소속기관장 확인서</t>
    <phoneticPr fontId="4" type="noConversion"/>
  </si>
  <si>
    <t>외부연구자 등록 신청서</t>
    <phoneticPr fontId="4" type="noConversion"/>
  </si>
  <si>
    <t>★ 본 서식은 SRnD시스템 참여연구원 화면에서도 출력 가능합니다. (기 등록된 연구자 정보 자동 출력)</t>
    <phoneticPr fontId="4" type="noConversion"/>
  </si>
  <si>
    <t>(인)</t>
    <phoneticPr fontId="4" type="noConversion"/>
  </si>
  <si>
    <t>(다년도 과제 수행 시)</t>
    <phoneticPr fontId="4" type="noConversion"/>
  </si>
  <si>
    <t>(복수 과제 참여 시)</t>
    <phoneticPr fontId="4" type="noConversion"/>
  </si>
  <si>
    <t>학생연구자</t>
    <phoneticPr fontId="4" type="noConversion"/>
  </si>
  <si>
    <t xml:space="preserve">물품분류번호
(세부품명번호) </t>
    <phoneticPr fontId="4" type="noConversion"/>
  </si>
  <si>
    <t xml:space="preserve"> 별도로 계상되어 있는지 확인하여야 한다.</t>
    <phoneticPr fontId="4" type="noConversion"/>
  </si>
  <si>
    <t>② "갑"은  「국가연구개발사업 연구개발비 사용 기준」에 따라 "병"의 급여 총액에 4대보험 기관부담금과 본인의 퇴직급여충당금이</t>
    <phoneticPr fontId="4" type="noConversion"/>
  </si>
  <si>
    <t>서울대학교 연구과제 고용계약서
(근로소득자용_연구근접지원인력)</t>
    <phoneticPr fontId="4" type="noConversion"/>
  </si>
  <si>
    <t>병
(연구근접지원인력)</t>
    <phoneticPr fontId="4" type="noConversion"/>
  </si>
  <si>
    <t>연구근접지원인력</t>
    <phoneticPr fontId="4" type="noConversion"/>
  </si>
  <si>
    <t>“병”의 직급은 연구근접지원인력으로 하며,  서울대학교</t>
    <phoneticPr fontId="4" type="noConversion"/>
  </si>
  <si>
    <t>제4조(“갑”과 "을"의 의무)</t>
    <phoneticPr fontId="4" type="noConversion"/>
  </si>
  <si>
    <t xml:space="preserve">⑤ “병”은 국가연구개발사업에서 연구수당을 지급받을 수 없다. </t>
    <phoneticPr fontId="4" type="noConversion"/>
  </si>
  <si>
    <t xml:space="preserve">   연구과제를 참여하게 될 경우 “갑”과 “을”에게 관련사실을 지체 없이 통보하여야 하며,  &lt;연구과제참여합의서&gt;를 추가로 작성</t>
    <phoneticPr fontId="4" type="noConversion"/>
  </si>
  <si>
    <t xml:space="preserve">   하여야 한다. </t>
    <phoneticPr fontId="4" type="noConversion"/>
  </si>
  <si>
    <t>② 본 계약의 체결을 증명하기 위하여 계약서 3통을 작성하여 기관장(갑), 연구책임자(을), 연구근접지원인력(병)이 서명 또는 날인하고</t>
    <phoneticPr fontId="4" type="noConversion"/>
  </si>
  <si>
    <t xml:space="preserve">  ※ 연구근접지원인력의 개인정보 제공, 활용 및 제3자 제공 동의(제7조)에 대한 서명</t>
    <phoneticPr fontId="4" type="noConversion"/>
  </si>
  <si>
    <r>
      <t xml:space="preserve">  본인은 서울대학교의 (                                </t>
    </r>
    <r>
      <rPr>
        <i/>
        <sz val="12"/>
        <color rgb="FF437FC1"/>
        <rFont val="함초롬바탕"/>
        <family val="1"/>
        <charset val="129"/>
      </rPr>
      <t xml:space="preserve">과제명                                </t>
    </r>
    <r>
      <rPr>
        <sz val="12"/>
        <color rgb="FF000000"/>
        <rFont val="함초롬바탕"/>
        <family val="1"/>
        <charset val="129"/>
      </rPr>
      <t>)과제 수행 지원을 위한 연구근접지원인력으로</t>
    </r>
    <phoneticPr fontId="4" type="noConversion"/>
  </si>
  <si>
    <r>
      <t xml:space="preserve">  본인은 서울대학교의 (            </t>
    </r>
    <r>
      <rPr>
        <i/>
        <sz val="12"/>
        <color theme="4"/>
        <rFont val="함초롬바탕"/>
        <family val="1"/>
        <charset val="129"/>
      </rPr>
      <t xml:space="preserve">  과제명1, 과제명2....... </t>
    </r>
    <r>
      <rPr>
        <i/>
        <sz val="12"/>
        <color rgb="FF437FC1"/>
        <rFont val="함초롬바탕"/>
        <family val="1"/>
        <charset val="129"/>
      </rPr>
      <t xml:space="preserve">                            </t>
    </r>
    <r>
      <rPr>
        <sz val="12"/>
        <color rgb="FF000000"/>
        <rFont val="함초롬바탕"/>
        <family val="1"/>
        <charset val="129"/>
      </rPr>
      <t>)과제 수행 지원을 위한 연구근접지원인력으로</t>
    </r>
    <phoneticPr fontId="4" type="noConversion"/>
  </si>
  <si>
    <t>서식 바로가기</t>
    <phoneticPr fontId="4" type="noConversion"/>
  </si>
  <si>
    <t>관련 증빙서류</t>
    <phoneticPr fontId="4" type="noConversion"/>
  </si>
  <si>
    <t>수의계약사유서</t>
    <phoneticPr fontId="4" type="noConversion"/>
  </si>
  <si>
    <t>서울대학교 연구과제 고용계약서
(근로소득자용_참여연구자)</t>
    <phoneticPr fontId="4" type="noConversion"/>
  </si>
  <si>
    <t>병
(참여연구자)</t>
    <phoneticPr fontId="4" type="noConversion"/>
  </si>
  <si>
    <t>병
(참여연구자)</t>
    <phoneticPr fontId="4" type="noConversion"/>
  </si>
  <si>
    <t>② “을”은 “병”의 과제 인건비계상률을 조정할 수 있으며, 조정된 인건비계상률에 따라 인건비를 지급할 수 있다.</t>
    <phoneticPr fontId="4" type="noConversion"/>
  </si>
  <si>
    <t>④ “병”의 과제 인건비계상률이 변경되어 연구량이 변동될 경우 인건비를 부분적으로 조정 할 수 있다.</t>
    <phoneticPr fontId="4" type="noConversion"/>
  </si>
  <si>
    <t>2. “갑”이 수집한 “병”의 개인정보는 「서울대학교 연구비 관리 규정」 제31조(관계서류의 보존)에 따라 5년간 보관합니다.</t>
    <phoneticPr fontId="4" type="noConversion"/>
  </si>
  <si>
    <t>2. “갑”이 수집한 “병”의 개인정보는「서울대학교 연구비 관리 규정」 제31조(관계서류의 보존)에 따라 5년간 보관합니다.</t>
    <phoneticPr fontId="4" type="noConversion"/>
  </si>
  <si>
    <t>4. 기타 사회적인 물의를 일으키거나 연구자로서의 품위를 손상하여 본교의 명예를 훼손한 경우</t>
    <phoneticPr fontId="4" type="noConversion"/>
  </si>
  <si>
    <t>③ 연구과제 수행을 위하여 참여연구자를 교체하여야 하는 경우  “갑”은 “병”과의 참여 계약을 해지할 수 있으며,</t>
    <phoneticPr fontId="4" type="noConversion"/>
  </si>
  <si>
    <t>4. 기타 사회적인 물의를 일으키거나 연구자로서의 품위를 손상하여 본교의 명예를 훼손한 경우</t>
    <phoneticPr fontId="4" type="noConversion"/>
  </si>
  <si>
    <t>③ 본 계약의 체결을 증명하기 위하여 계약서 3통을 작성하여 기관장(갑), 연구책임자(을), 참여연구자(병)이 서명 또는 날인하고</t>
    <phoneticPr fontId="4" type="noConversion"/>
  </si>
  <si>
    <t xml:space="preserve">                     참여연구자의 개인정보 제공, 활용 및 제3자 제공 동의(제7조)에 대한 서명</t>
    <phoneticPr fontId="4" type="noConversion"/>
  </si>
  <si>
    <t xml:space="preserve">③ 본 계약의 체결을 증명하기 위하여 계약서 3통을 작성하여 기관장(갑), 연구책임자(을), 참여연구자(병)이 서명 또는 날인하고 </t>
    <phoneticPr fontId="4" type="noConversion"/>
  </si>
  <si>
    <t>② “갑”은 「국가연구개발사업 연구개발비 사용 기준」에 따라 “병”의 급여 총액에 4대 보험 기관부담금과 본인의 퇴직</t>
    <phoneticPr fontId="4" type="noConversion"/>
  </si>
  <si>
    <t>④ “병”의 과제 인건비계상률이 변동될 경우 인건비를 부분적으로 조정 할 수 있다.</t>
    <phoneticPr fontId="4" type="noConversion"/>
  </si>
  <si>
    <t xml:space="preserve">⑦ “병”에 대한 복무관리 및 인건비 지급 등에 대해서는 인건비계상률 및 참여기간을 고려하여 “을”이 책임을 진다. </t>
    <phoneticPr fontId="4" type="noConversion"/>
  </si>
  <si>
    <r>
      <t xml:space="preserve">제7조(개인정보 제공 및 활용 동의) </t>
    </r>
    <r>
      <rPr>
        <sz val="11"/>
        <rFont val="함초롬바탕"/>
        <family val="1"/>
        <charset val="129"/>
      </rPr>
      <t xml:space="preserve">“병”은 아래의 내용을 세심하게 읽고 확인한 후 “갑”의 개인정보 및 고유식별정보의 수집과 </t>
    </r>
    <phoneticPr fontId="4" type="noConversion"/>
  </si>
  <si>
    <t xml:space="preserve"> 2. “갑”이 수집한 “병”의 개인정보는 「서울대학교 연구비 관리 규정」제31조(관계서류의 보존)에 따라 5년간 보관한다.</t>
    <phoneticPr fontId="4" type="noConversion"/>
  </si>
  <si>
    <t xml:space="preserve"> 4. 기타 사회적인 물의를 일으키거나 연구자로서의 품위를 손상하여 본교의 명예를 훼손한 경우</t>
    <phoneticPr fontId="4" type="noConversion"/>
  </si>
  <si>
    <t xml:space="preserve">② 퇴직금은 근로자퇴직급여보장법에 따라 지급하며, 산정 시에는 연구 참여기간 및 인건비계상률을 반영하여 계산하고 해당연차 </t>
    <phoneticPr fontId="4" type="noConversion"/>
  </si>
  <si>
    <r>
      <t xml:space="preserve">※ 과제참여계약 체결 대상: </t>
    </r>
    <r>
      <rPr>
        <b/>
        <u/>
        <sz val="12"/>
        <rFont val="맑은 고딕"/>
        <family val="3"/>
        <charset val="129"/>
      </rPr>
      <t>참여연구자가</t>
    </r>
    <r>
      <rPr>
        <b/>
        <u/>
        <sz val="12"/>
        <color rgb="FF0000FF"/>
        <rFont val="맑은 고딕"/>
        <family val="3"/>
        <charset val="129"/>
      </rPr>
      <t xml:space="preserve"> </t>
    </r>
    <r>
      <rPr>
        <b/>
        <u/>
        <sz val="12"/>
        <color rgb="FFFF0000"/>
        <rFont val="맑은 고딕"/>
        <family val="3"/>
        <charset val="129"/>
      </rPr>
      <t>프리랜서 또는 개인사업자</t>
    </r>
    <r>
      <rPr>
        <b/>
        <u/>
        <sz val="12"/>
        <color rgb="FF0000FF"/>
        <rFont val="맑은 고딕"/>
        <family val="3"/>
        <charset val="129"/>
      </rPr>
      <t>인 경우</t>
    </r>
    <phoneticPr fontId="4" type="noConversion"/>
  </si>
  <si>
    <t>외부참여연구자 소속기관장 확인서</t>
    <phoneticPr fontId="0" type="Hiragana"/>
  </si>
  <si>
    <t>□ 외부 참여연구자 정보</t>
    <phoneticPr fontId="4" type="noConversion"/>
  </si>
  <si>
    <t>인건비
계상률</t>
    <phoneticPr fontId="4" type="noConversion"/>
  </si>
  <si>
    <r>
      <t xml:space="preserve">1. 본 기관 소속 연구자가 서울대학교에서 수행하는 과제에 참여하여 인건비를 지급받고, 
   전체 인건비가 본인 직급 기준인건비의 100%를 초과하지 않음을 확인합니다. 본 기관 과제별 인건비계상률의 상향조정으로 
   해당 연구자의 총 인건비계상률이 100%를 초과하게 될 경우 서울대학교에 관련 사실을 고지하겠습니다.
2. 연구자가 해당 과제에서 인건비를 지급받을 시 개인계좌로 지급됨을 확인합니다.
</t>
    </r>
    <r>
      <rPr>
        <sz val="12"/>
        <color rgb="FFFF0000"/>
        <rFont val="맑은 고딕"/>
        <family val="3"/>
        <charset val="129"/>
        <scheme val="minor"/>
      </rPr>
      <t>※ 참여자가 외국인인 경우, "체류자격 외 활동 허가"를 받은 인력만 참여가 가능합니다.</t>
    </r>
    <r>
      <rPr>
        <sz val="12"/>
        <rFont val="맑은 고딕"/>
        <family val="3"/>
        <charset val="129"/>
        <scheme val="minor"/>
      </rPr>
      <t xml:space="preserve">
※ 「국가연구개발혁신법」에 따라 참여연구자는 국가연구개발사업에 총 인건비계상률 100%을 초과하여 참여할 수 없음</t>
    </r>
    <phoneticPr fontId="4" type="noConversion"/>
  </si>
  <si>
    <r>
      <t>학생연구자 연구참여확약서</t>
    </r>
    <r>
      <rPr>
        <b/>
        <sz val="18"/>
        <rFont val="맑은 고딕"/>
        <family val="3"/>
        <charset val="129"/>
      </rPr>
      <t>[계정번호:               ]</t>
    </r>
    <phoneticPr fontId="9" type="Hiragana"/>
  </si>
  <si>
    <t>상기와 같이 연구과제 수행과 관련하여 참여연구자에게 연구수당을 지급 청구합니다.</t>
    <phoneticPr fontId="0" type="Hiragana"/>
  </si>
  <si>
    <t>외부연구자 등록신청서</t>
    <phoneticPr fontId="0" type="Hiragana"/>
  </si>
  <si>
    <t>연구과제 참여 합의서</t>
    <phoneticPr fontId="4" type="noConversion"/>
  </si>
  <si>
    <t>의 장(이하 "갑"이라 함), 갑 소속 연구자의 연구과제 참여기관인 서울대학교</t>
    <phoneticPr fontId="4" type="noConversion"/>
  </si>
  <si>
    <t>같이 연구자의 연구과제 참여에 합의한다.</t>
    <phoneticPr fontId="4" type="noConversion"/>
  </si>
  <si>
    <t>의 장(이하 "을"이라 함), 연구책임자(이하 "병"이라 함), 참여연구자(이하 "정"이라 함)은 다음과</t>
    <phoneticPr fontId="4" type="noConversion"/>
  </si>
  <si>
    <t>갑
(원 소속기관)</t>
    <phoneticPr fontId="4" type="noConversion"/>
  </si>
  <si>
    <t>을
(과제참여기관)</t>
    <phoneticPr fontId="4" type="noConversion"/>
  </si>
  <si>
    <t>○○○○○(기관명1)</t>
    <phoneticPr fontId="4" type="noConversion"/>
  </si>
  <si>
    <t>○○○○○(기관명2)</t>
    <phoneticPr fontId="4" type="noConversion"/>
  </si>
  <si>
    <t>병
(연구책임자)</t>
    <phoneticPr fontId="4" type="noConversion"/>
  </si>
  <si>
    <t>연구과제 정보</t>
    <phoneticPr fontId="4" type="noConversion"/>
  </si>
  <si>
    <t>연구과제명</t>
    <phoneticPr fontId="4" type="noConversion"/>
  </si>
  <si>
    <t>연구기간</t>
    <phoneticPr fontId="4" type="noConversion"/>
  </si>
  <si>
    <t xml:space="preserve">1. 계약당사자 </t>
    <phoneticPr fontId="4" type="noConversion"/>
  </si>
  <si>
    <t>2. 계약의 목적</t>
    <phoneticPr fontId="4" type="noConversion"/>
  </si>
  <si>
    <t>3. 연구과제 참여기간</t>
    <phoneticPr fontId="4" type="noConversion"/>
  </si>
  <si>
    <t>4. 임금 등의 지급</t>
    <phoneticPr fontId="4" type="noConversion"/>
  </si>
  <si>
    <t>5. 계약의 변경</t>
    <phoneticPr fontId="4" type="noConversion"/>
  </si>
  <si>
    <t xml:space="preserve">    변경할 수 있다.  </t>
    <phoneticPr fontId="4" type="noConversion"/>
  </si>
  <si>
    <t>6. 손해배상</t>
    <phoneticPr fontId="4" type="noConversion"/>
  </si>
  <si>
    <t>7. 계약의 효력</t>
    <phoneticPr fontId="4" type="noConversion"/>
  </si>
  <si>
    <t>8. 분쟁의 해결</t>
    <phoneticPr fontId="4" type="noConversion"/>
  </si>
  <si>
    <t>(을)</t>
    <phoneticPr fontId="4" type="noConversion"/>
  </si>
  <si>
    <t>(병)</t>
    <phoneticPr fontId="4" type="noConversion"/>
  </si>
  <si>
    <t>(정)</t>
    <phoneticPr fontId="4" type="noConversion"/>
  </si>
  <si>
    <t xml:space="preserve">◦ “갑”,“을”,“병”,“정”은 본 계약을 통해 “정”의 상기 연구과제 참여와 관련하여 발생하는 인건비, 4대보험, 퇴직금 등 </t>
    <phoneticPr fontId="4" type="noConversion"/>
  </si>
  <si>
    <t xml:space="preserve">◦ “을”은 “정”에게 연구비에서 급여총액(4대보험과 퇴직급여충당금 등 포함)을 상기 연구과제의 인건비로 계상하여 임금을 </t>
    <phoneticPr fontId="4" type="noConversion"/>
  </si>
  <si>
    <t>◦ “을”은 “정”의 상기 연구과제에 대한 인건비 계상금액의 변동이 발생할 경우, “갑”에게 관련사실을 지체 없이 통보하여야 하며,</t>
    <phoneticPr fontId="4" type="noConversion"/>
  </si>
  <si>
    <t xml:space="preserve">◦ “갑”과 “을”은 계약의 내용을 변경하여야 하는 사정이 있는 경우 충분히 협의하여야 하며, 서면 합의를 통해 관련 내용을 </t>
    <phoneticPr fontId="4" type="noConversion"/>
  </si>
  <si>
    <t>◦ “갑” 또는 “을”은 본 계약에서 정한 사항을 위반하여 상대방에게 손해를 입힌 경우, 그 손해를 배상하여야 한다.</t>
    <phoneticPr fontId="4" type="noConversion"/>
  </si>
  <si>
    <t xml:space="preserve">◦ 단, “정”이 갑과 을의 사전 동의 없이 관련 법령, 학내 규정, 연구계획서 등 기타 준수 의무가 있는 사항을 위반하여 연구를 </t>
    <phoneticPr fontId="4" type="noConversion"/>
  </si>
  <si>
    <t xml:space="preserve">    “을”은 연구수행 기간 내 급여총액의 변동에 따라 발생되는 4대보험(기관부담 포함) 및 퇴직급여충당금의 부족분에 대하여</t>
    <phoneticPr fontId="4" type="noConversion"/>
  </si>
  <si>
    <t xml:space="preserve">    지급한다.</t>
    <phoneticPr fontId="4" type="noConversion"/>
  </si>
  <si>
    <t xml:space="preserve">    납부 책임을 부담한다.</t>
    <phoneticPr fontId="4" type="noConversion"/>
  </si>
  <si>
    <t>◦ 본 계약은 갑, 을, 병, 정이 기명 날인한 날로부터 유효하다.</t>
    <phoneticPr fontId="4" type="noConversion"/>
  </si>
  <si>
    <t xml:space="preserve">◦ 위와 같이 계약을 체결하고 계약서 4부를 작성, 기명날인 한 후 갑, 을, 병, 정이 각각 1부씩 보관한다. </t>
    <phoneticPr fontId="4" type="noConversion"/>
  </si>
  <si>
    <t>◦ 본 계약과 관련하여 분쟁이 발생한 경우 갑, 을, 병, 정은 일차적으로 협의를 통해 원만한 해결을 도모하여야 한다.</t>
    <phoneticPr fontId="4" type="noConversion"/>
  </si>
  <si>
    <t xml:space="preserve">◦ “정”의 연구과제 참여기간은 
</t>
    <phoneticPr fontId="4" type="noConversion"/>
  </si>
  <si>
    <t xml:space="preserve">    제반사항을 합의한다.</t>
    <phoneticPr fontId="4" type="noConversion"/>
  </si>
  <si>
    <t xml:space="preserve">   ▪ 법령 등에 의해 제공이 요구되는 경우</t>
    <phoneticPr fontId="4" type="noConversion"/>
  </si>
  <si>
    <t xml:space="preserve">   ▪ 통계작성 및 학술연구 등의 목적을 위하여 필요한 경우로서 특정 개인을 알아 볼 수 없는 형태로 개인정보를 제공하는 경우</t>
    <phoneticPr fontId="4" type="noConversion"/>
  </si>
  <si>
    <t>○○대학 ○○학과 ○교수</t>
    <phoneticPr fontId="4" type="noConversion"/>
  </si>
  <si>
    <t xml:space="preserve">◦ “을”은 연구과제에서 발생한 4대보험(기관부담 포함) 및 퇴직급여충당금을 연구과제 종료 후 “갑”에게 이관하여야 한다. </t>
    <phoneticPr fontId="4" type="noConversion"/>
  </si>
  <si>
    <t xml:space="preserve">    수행함으로써 갑과 을에 손해를 입힌 경우, “정”은 그 손해를 배상하여야 한다.</t>
    <phoneticPr fontId="4" type="noConversion"/>
  </si>
  <si>
    <t>지원기관</t>
    <phoneticPr fontId="4" type="noConversion"/>
  </si>
  <si>
    <t>은행/계좌번호</t>
    <phoneticPr fontId="4" type="noConversion"/>
  </si>
  <si>
    <t>인건비의 3% 계상액</t>
    <phoneticPr fontId="4" type="noConversion"/>
  </si>
  <si>
    <t>인건비 계상액</t>
    <phoneticPr fontId="4" type="noConversion"/>
  </si>
  <si>
    <t>연구자구분</t>
    <phoneticPr fontId="4" type="noConversion"/>
  </si>
  <si>
    <t>책임</t>
    <phoneticPr fontId="4" type="noConversion"/>
  </si>
  <si>
    <t>공동</t>
    <phoneticPr fontId="4" type="noConversion"/>
  </si>
  <si>
    <t>연구보조원</t>
    <phoneticPr fontId="4" type="noConversion"/>
  </si>
  <si>
    <t>보안과제 여부 확인</t>
    <phoneticPr fontId="4" type="noConversion"/>
  </si>
  <si>
    <t>󰋪 보안수당 지급내역</t>
    <phoneticPr fontId="4" type="noConversion"/>
  </si>
  <si>
    <t>보안수당 지급신청서</t>
    <phoneticPr fontId="0" type="Hiragana"/>
  </si>
  <si>
    <t>보안수당</t>
    <phoneticPr fontId="4" type="noConversion"/>
  </si>
  <si>
    <t>보안수당 사용내역서</t>
    <phoneticPr fontId="4" type="noConversion"/>
  </si>
  <si>
    <t>보안수당 지급신청서</t>
    <phoneticPr fontId="4" type="noConversion"/>
  </si>
  <si>
    <t>보안수당</t>
    <phoneticPr fontId="4" type="noConversion"/>
  </si>
  <si>
    <t>20 .  .  . ～ 20 .  .  .</t>
    <phoneticPr fontId="4" type="noConversion"/>
  </si>
  <si>
    <t>지급금액</t>
    <phoneticPr fontId="4" type="noConversion"/>
  </si>
  <si>
    <t>□ 확인</t>
    <phoneticPr fontId="4" type="noConversion"/>
  </si>
  <si>
    <t>상기와 같이 연구과제 수행과 관련하여 참여연구자에게 보안수당을 지급 청구합니다.</t>
    <phoneticPr fontId="0" type="Hiragana"/>
  </si>
  <si>
    <t>생년월일</t>
    <phoneticPr fontId="4" type="noConversion"/>
  </si>
  <si>
    <t>장(이하 "갑"이라 함), 연구책임자(이하 "을"이라 함), 연구근접지원인력(이하  "병"</t>
    <phoneticPr fontId="4" type="noConversion"/>
  </si>
  <si>
    <t>장(이하 "갑"이라 함), 연구책임자(이하 "을"이라 함), 연구근접지원인력(이하  "병"</t>
    <phoneticPr fontId="4" type="noConversion"/>
  </si>
  <si>
    <t>“병”의 직급은 연구근접지원인력(초단시간)으로 하며,  서울대학교</t>
    <phoneticPr fontId="4" type="noConversion"/>
  </si>
  <si>
    <t xml:space="preserve">  4. 해당 계약은 「기간제 및 단시간근로자 보호 등에 관한 법률」(이하 “기간제법”이라 함) 제4조제1항 제6호 및 동법 시행령</t>
    <phoneticPr fontId="4" type="noConversion"/>
  </si>
  <si>
    <t xml:space="preserve">  3. “병”은 제3항의 연구과제수행을 위하여 근로계약을 체결하며, 근로계약 기간 이내라도 해당 사업의 완료(종료)로</t>
    <phoneticPr fontId="4" type="noConversion"/>
  </si>
  <si>
    <t xml:space="preserve">      제3조제3항 6호 “「근로기준법」 제18조제3항에 따른 1주 동안의 소정근로시간이 뚜렷하게 짧은 단시간근로자를 사용하는 </t>
    <phoneticPr fontId="4" type="noConversion"/>
  </si>
  <si>
    <t xml:space="preserve">      경우”에 해당한다.</t>
    <phoneticPr fontId="4" type="noConversion"/>
  </si>
  <si>
    <t>② 근로조건(휴게시간을 제외하고 1주 15시간 미만 근무를 기준으로 함)</t>
    <phoneticPr fontId="4" type="noConversion"/>
  </si>
  <si>
    <t>① 본 계약서에 규정되지 않은 사항은 ｢근로기준법｣ 등 근로관계 법령이 정하는 바에 따른다.</t>
    <phoneticPr fontId="4" type="noConversion"/>
  </si>
  <si>
    <t>퇴직금은 ｢근로자퇴직급여보장법｣ 제4조 단서에 따라 적용되지 아니한다.</t>
    <phoneticPr fontId="4" type="noConversion"/>
  </si>
  <si>
    <t>서울대학교 연구과제 고용계약서
(근로소득자용_연구근접지원인력(초단시간))</t>
    <phoneticPr fontId="4" type="noConversion"/>
  </si>
  <si>
    <t>구매의뢰서</t>
    <phoneticPr fontId="4" type="noConversion"/>
  </si>
  <si>
    <t>SRnD 과제번호</t>
    <phoneticPr fontId="0" type="Hiragana"/>
  </si>
  <si>
    <t>SRnD 과제번호</t>
    <phoneticPr fontId="4" type="noConversion"/>
  </si>
  <si>
    <t>구매의뢰서</t>
    <phoneticPr fontId="4" type="noConversion"/>
  </si>
  <si>
    <t>※ 보안수당 사용기준: 국가연구개발사업 연구개발비 사용 기준에 따라 보안과제 수행 참여연구자별로 인건비의 3% 범위 내에서 계상할 수 있으며, 
    계상한 보안수당은 해당 참여연구자에게만 지급할 수 있음</t>
    <phoneticPr fontId="4" type="noConversion"/>
  </si>
  <si>
    <t xml:space="preserve"> [국문]</t>
    <phoneticPr fontId="4" type="noConversion"/>
  </si>
  <si>
    <t>국가연구자번호</t>
    <phoneticPr fontId="4" type="noConversion"/>
  </si>
  <si>
    <t>※  산학협력단회계의 연구비(간접비 포함)에서 지출되는 국외거래에 대한 대금 지급건이 부가가치세 대리납부 과세대상에
    해당하는 경우, 용역대가의 10%를 납부해야 하오니, 신고대상 목록을 정확히 확인하여 주시기 바랍니다.</t>
    <phoneticPr fontId="4" type="noConversion"/>
  </si>
  <si>
    <t>월 기준금액</t>
    <phoneticPr fontId="4" type="noConversion"/>
  </si>
  <si>
    <t>외화송금신청서(부가가치세 대리납부 확인사항 포함)</t>
    <phoneticPr fontId="4" type="noConversion"/>
  </si>
  <si>
    <t>○ 고유식별정보 수집 및 이용에 동의하십니까?</t>
    <phoneticPr fontId="4" type="noConversion"/>
  </si>
  <si>
    <t>○ Do you agree with the collection of your personal information and its utilization?                 Agree        Disagree</t>
    <phoneticPr fontId="4" type="noConversion"/>
  </si>
  <si>
    <t>2. 본인은 연구 정보를 누설함이 법률위반행위가 됨을 명심하고 재직 중은 물론 퇴직 후에도 알게 된 모든 기밀 사항을 일체</t>
    <phoneticPr fontId="4" type="noConversion"/>
  </si>
  <si>
    <t xml:space="preserve">   타인에게 누설하지 아니한다. </t>
    <phoneticPr fontId="4" type="noConversion"/>
  </si>
  <si>
    <t>250,000 이하</t>
    <phoneticPr fontId="4" type="noConversion"/>
  </si>
  <si>
    <t>100,000 이하</t>
    <phoneticPr fontId="4" type="noConversion"/>
  </si>
  <si>
    <t>100,000 이하</t>
    <phoneticPr fontId="4" type="noConversion"/>
  </si>
  <si>
    <t>연구책임자급</t>
  </si>
  <si>
    <t>연구책임자급</t>
    <phoneticPr fontId="4" type="noConversion"/>
  </si>
  <si>
    <t>연구자급</t>
    <phoneticPr fontId="4" type="noConversion"/>
  </si>
  <si>
    <t>70,000 이하</t>
    <phoneticPr fontId="4" type="noConversion"/>
  </si>
  <si>
    <t>100,000 이하</t>
    <phoneticPr fontId="4" type="noConversion"/>
  </si>
  <si>
    <t>2시간까지</t>
    <phoneticPr fontId="4" type="noConversion"/>
  </si>
  <si>
    <t>6시간까지</t>
    <phoneticPr fontId="4" type="noConversion"/>
  </si>
  <si>
    <t>6시간 초과 시</t>
    <phoneticPr fontId="4" type="noConversion"/>
  </si>
  <si>
    <t>언어구분</t>
    <phoneticPr fontId="4" type="noConversion"/>
  </si>
  <si>
    <t>영어, 아랍어, 독일어</t>
    <phoneticPr fontId="4" type="noConversion"/>
  </si>
  <si>
    <t>일어, 중국어</t>
    <phoneticPr fontId="4" type="noConversion"/>
  </si>
  <si>
    <t>500,000 이하</t>
    <phoneticPr fontId="4" type="noConversion"/>
  </si>
  <si>
    <t>700,000 이하</t>
    <phoneticPr fontId="4" type="noConversion"/>
  </si>
  <si>
    <t>600,000 이하</t>
    <phoneticPr fontId="4" type="noConversion"/>
  </si>
  <si>
    <t>600,000 이하</t>
    <phoneticPr fontId="4" type="noConversion"/>
  </si>
  <si>
    <t>외국어</t>
    <phoneticPr fontId="4" type="noConversion"/>
  </si>
  <si>
    <t>요점</t>
    <phoneticPr fontId="4" type="noConversion"/>
  </si>
  <si>
    <t>전문분야</t>
    <phoneticPr fontId="4" type="noConversion"/>
  </si>
  <si>
    <t>시간당 300,000 이하</t>
    <phoneticPr fontId="4" type="noConversion"/>
  </si>
  <si>
    <t>시간당 350,000 이하</t>
    <phoneticPr fontId="4" type="noConversion"/>
  </si>
  <si>
    <t>시간당 350,000 이하</t>
    <phoneticPr fontId="4" type="noConversion"/>
  </si>
  <si>
    <t>시간당 200,000 이하</t>
    <phoneticPr fontId="4" type="noConversion"/>
  </si>
  <si>
    <t>시간당 400,000 이하</t>
    <phoneticPr fontId="4" type="noConversion"/>
  </si>
  <si>
    <t>* 통역료 정액표</t>
    <phoneticPr fontId="4" type="noConversion"/>
  </si>
  <si>
    <t>* 속기료 정액표</t>
    <phoneticPr fontId="4" type="noConversion"/>
  </si>
  <si>
    <t>성 명</t>
  </si>
  <si>
    <t>학 번</t>
  </si>
  <si>
    <t>과정 및 학기</t>
  </si>
  <si>
    <t>국가연구자번호</t>
  </si>
  <si>
    <t>과정</t>
    <phoneticPr fontId="4" type="noConversion"/>
  </si>
  <si>
    <t>성 명</t>
    <phoneticPr fontId="4" type="noConversion"/>
  </si>
  <si>
    <t>소 속(학과명)</t>
    <phoneticPr fontId="4" type="noConversion"/>
  </si>
  <si>
    <t>직 급</t>
    <phoneticPr fontId="4" type="noConversion"/>
  </si>
  <si>
    <t>연락처</t>
    <phoneticPr fontId="4" type="noConversion"/>
  </si>
  <si>
    <t>대학원생 연구보조업무 수행 동의서</t>
    <phoneticPr fontId="4" type="noConversion"/>
  </si>
  <si>
    <t>1. 국가연구개발사업 학생인건비</t>
    <phoneticPr fontId="4" type="noConversion"/>
  </si>
  <si>
    <t>석박사
통합과정</t>
    <phoneticPr fontId="4" type="noConversion"/>
  </si>
  <si>
    <t>연구보조업무 수행 지원금 재원</t>
    <phoneticPr fontId="4" type="noConversion"/>
  </si>
  <si>
    <t>해당 항목에 체크(복수 가능)</t>
    <phoneticPr fontId="4" type="noConversion"/>
  </si>
  <si>
    <t>√</t>
    <phoneticPr fontId="4" type="noConversion"/>
  </si>
  <si>
    <t>√</t>
    <phoneticPr fontId="4" type="noConversion"/>
  </si>
  <si>
    <t>5. BK21사업 연구장학금</t>
    <phoneticPr fontId="4" type="noConversion"/>
  </si>
  <si>
    <t>6. 강의연구지원 장학금</t>
    <phoneticPr fontId="4" type="noConversion"/>
  </si>
  <si>
    <t>7. 기초학문분야 학문후속세대 장학금</t>
    <phoneticPr fontId="4" type="noConversion"/>
  </si>
  <si>
    <t>8. 기타</t>
    <phoneticPr fontId="4" type="noConversion"/>
  </si>
  <si>
    <t xml:space="preserve">    ※ 연구수행내용, 역할 등 담당업무를 구체적으로 작성하고, 연구와 관련 없는 업무는 기재하지 않음  </t>
    <phoneticPr fontId="62" type="noConversion"/>
  </si>
  <si>
    <t>소속
(학과명)</t>
    <phoneticPr fontId="62" type="noConversion"/>
  </si>
  <si>
    <t>서울대학교 산학협력단 표준 연구비 청구서식</t>
    <phoneticPr fontId="4" type="noConversion"/>
  </si>
  <si>
    <t>소 속 (학과명)</t>
  </si>
  <si>
    <t>1. 대학원생 인적 사항</t>
    <phoneticPr fontId="4" type="noConversion"/>
  </si>
  <si>
    <t>2. 연구보조업무 수행 관련 사항</t>
    <phoneticPr fontId="4" type="noConversion"/>
  </si>
  <si>
    <r>
      <t xml:space="preserve">( </t>
    </r>
    <r>
      <rPr>
        <b/>
        <i/>
        <sz val="10"/>
        <color rgb="FF0000FF"/>
        <rFont val="맑은 고딕"/>
        <family val="3"/>
        <charset val="129"/>
        <scheme val="minor"/>
      </rPr>
      <t>석박사통합</t>
    </r>
    <r>
      <rPr>
        <b/>
        <sz val="10"/>
        <color rgb="FF000000"/>
        <rFont val="맑은 고딕"/>
        <family val="3"/>
        <charset val="129"/>
        <scheme val="minor"/>
      </rPr>
      <t xml:space="preserve"> </t>
    </r>
    <r>
      <rPr>
        <sz val="10"/>
        <color rgb="FF000000"/>
        <rFont val="맑은 고딕"/>
        <family val="3"/>
        <charset val="129"/>
        <scheme val="minor"/>
      </rPr>
      <t>) 과정 ( 6 ) 학기</t>
    </r>
    <phoneticPr fontId="4" type="noConversion"/>
  </si>
  <si>
    <t xml:space="preserve">가. 기간(6개월, 학기 단위) : 20 . . . ~ 20 . . . </t>
    <phoneticPr fontId="4" type="noConversion"/>
  </si>
  <si>
    <t>나. 담당업무(역할) : 연구보조업무 수행</t>
    <phoneticPr fontId="4" type="noConversion"/>
  </si>
  <si>
    <t>라. 지도교수 인적사항</t>
    <phoneticPr fontId="4" type="noConversion"/>
  </si>
  <si>
    <t>3. 기타 사항</t>
    <phoneticPr fontId="4" type="noConversion"/>
  </si>
  <si>
    <t>가. 대학원생은 연구보조업무를 성실히 수행한다.</t>
    <phoneticPr fontId="4" type="noConversion"/>
  </si>
  <si>
    <t>다. 대학원생은 동 동의서에 따라 지급받는 지원금 이외에 타 소득이 발생한 경우 지도교수에게 통보하여야 한다.</t>
    <phoneticPr fontId="4" type="noConversion"/>
  </si>
  <si>
    <t>보 안 서 약 서</t>
    <phoneticPr fontId="21" type="noConversion"/>
  </si>
  <si>
    <t>○ Do you agree with the provision of your personal information to a third party?                   Agree         Disagree</t>
    <phoneticPr fontId="4" type="noConversion"/>
  </si>
  <si>
    <t>Written Oath</t>
    <phoneticPr fontId="21" type="noConversion"/>
  </si>
  <si>
    <t xml:space="preserve">    직위, 국적, 학적정보, 지급액 </t>
    <phoneticPr fontId="4" type="noConversion"/>
  </si>
  <si>
    <t>본인은 연구과제에 참여함에 있어 다음 사항을 준수할 것을 엄숙히 서약합니다.</t>
    <phoneticPr fontId="4" type="noConversion"/>
  </si>
  <si>
    <t>1. 본인은 연구과제에 참여함에 있어 제반 보안관계 규정 및 지침을 성실히 수행한다.</t>
    <phoneticPr fontId="4" type="noConversion"/>
  </si>
  <si>
    <t>개인정보 수집 및 이용 동의</t>
    <phoneticPr fontId="21" type="noConversion"/>
  </si>
  <si>
    <r>
      <rPr>
        <sz val="10"/>
        <rFont val="Segoe UI Symbol"/>
        <family val="2"/>
      </rPr>
      <t xml:space="preserve">  ▪ </t>
    </r>
    <r>
      <rPr>
        <sz val="10"/>
        <rFont val="맑은 고딕"/>
        <family val="2"/>
        <charset val="129"/>
        <scheme val="minor"/>
      </rPr>
      <t xml:space="preserve">필수정보 : 성명, </t>
    </r>
    <r>
      <rPr>
        <sz val="10"/>
        <rFont val="맑은 고딕"/>
        <family val="3"/>
        <charset val="129"/>
        <scheme val="minor"/>
      </rPr>
      <t>성별,</t>
    </r>
    <r>
      <rPr>
        <sz val="10"/>
        <rFont val="맑은 고딕"/>
        <family val="2"/>
        <charset val="129"/>
        <scheme val="minor"/>
      </rPr>
      <t xml:space="preserve"> 생년월일, 주민등록번호(고유식별정보), 주소, 이메일, 핸드폰번호, 계좌정보, 연구자등록번호, 소속, </t>
    </r>
    <phoneticPr fontId="4" type="noConversion"/>
  </si>
  <si>
    <r>
      <t xml:space="preserve">  </t>
    </r>
    <r>
      <rPr>
        <sz val="10"/>
        <rFont val="Segoe UI Symbol"/>
        <family val="2"/>
      </rPr>
      <t>▪</t>
    </r>
    <r>
      <rPr>
        <sz val="10"/>
        <rFont val="맑은 고딕"/>
        <family val="2"/>
        <charset val="129"/>
        <scheme val="minor"/>
      </rPr>
      <t xml:space="preserve"> 보유목적: 인건비 및 수당 지급, 세무신고, </t>
    </r>
    <r>
      <rPr>
        <sz val="10"/>
        <rFont val="맑은 고딕"/>
        <family val="3"/>
        <charset val="129"/>
        <scheme val="minor"/>
      </rPr>
      <t>각종 증명</t>
    </r>
    <r>
      <rPr>
        <sz val="10"/>
        <rFont val="맑은 고딕"/>
        <family val="2"/>
        <charset val="129"/>
        <scheme val="minor"/>
      </rPr>
      <t xml:space="preserve"> 발급 등 연구관리 제반사항, </t>
    </r>
    <r>
      <rPr>
        <sz val="10"/>
        <rFont val="맑은 고딕"/>
        <family val="3"/>
        <charset val="129"/>
        <scheme val="minor"/>
      </rPr>
      <t>서울대학교의 통계작성, 학술연구 등</t>
    </r>
    <phoneticPr fontId="4" type="noConversion"/>
  </si>
  <si>
    <t>개인정보의 제3자 제공 동의</t>
    <phoneticPr fontId="4" type="noConversion"/>
  </si>
  <si>
    <r>
      <rPr>
        <sz val="10"/>
        <rFont val="Segoe UI Symbol"/>
        <family val="2"/>
      </rPr>
      <t xml:space="preserve">  </t>
    </r>
    <r>
      <rPr>
        <sz val="10"/>
        <rFont val="Segoe UI Symbol"/>
        <family val="3"/>
      </rPr>
      <t>▪</t>
    </r>
    <r>
      <rPr>
        <sz val="10"/>
        <rFont val="Segoe UI Symbol"/>
        <family val="2"/>
      </rPr>
      <t xml:space="preserve"> </t>
    </r>
    <r>
      <rPr>
        <sz val="10"/>
        <rFont val="맑은 고딕"/>
        <family val="3"/>
        <charset val="129"/>
      </rPr>
      <t>연구자</t>
    </r>
    <r>
      <rPr>
        <sz val="10"/>
        <rFont val="맑은 고딕"/>
        <family val="2"/>
        <charset val="129"/>
        <scheme val="minor"/>
      </rPr>
      <t xml:space="preserve">가 사전에 제3자 제공 및 공개에 동의한 경우
</t>
    </r>
    <r>
      <rPr>
        <sz val="10"/>
        <rFont val="Segoe UI Symbol"/>
        <family val="2"/>
      </rPr>
      <t xml:space="preserve">  </t>
    </r>
    <r>
      <rPr>
        <sz val="10"/>
        <rFont val="Segoe UI Symbol"/>
        <family val="3"/>
      </rPr>
      <t>▪</t>
    </r>
    <r>
      <rPr>
        <sz val="10"/>
        <rFont val="Segoe UI Symbol"/>
        <family val="2"/>
      </rPr>
      <t xml:space="preserve"> </t>
    </r>
    <r>
      <rPr>
        <sz val="10"/>
        <rFont val="맑은 고딕"/>
        <family val="2"/>
        <charset val="129"/>
        <scheme val="minor"/>
      </rPr>
      <t xml:space="preserve">법령 등에 의해 제공이 요구되는 경우
</t>
    </r>
    <r>
      <rPr>
        <sz val="10"/>
        <rFont val="Segoe UI Symbol"/>
        <family val="2"/>
      </rPr>
      <t xml:space="preserve">  </t>
    </r>
    <r>
      <rPr>
        <sz val="10"/>
        <rFont val="Segoe UI Symbol"/>
        <family val="3"/>
      </rPr>
      <t>▪</t>
    </r>
    <r>
      <rPr>
        <sz val="10"/>
        <rFont val="Segoe UI Symbol"/>
        <family val="2"/>
      </rPr>
      <t xml:space="preserve"> </t>
    </r>
    <r>
      <rPr>
        <sz val="10"/>
        <rFont val="맑은 고딕"/>
        <family val="2"/>
        <charset val="129"/>
        <scheme val="minor"/>
      </rPr>
      <t xml:space="preserve">서비스의 제공에 관한 계약의 이행을 위하여 필요한 개인정보로서 경제적/기술적인 사유로 통상의 동의를 받는 것이 
     현저히 곤란한 경우
  </t>
    </r>
    <r>
      <rPr>
        <sz val="10"/>
        <rFont val="Segoe UI Symbol"/>
        <family val="2"/>
      </rPr>
      <t xml:space="preserve">▪ </t>
    </r>
    <r>
      <rPr>
        <sz val="10"/>
        <rFont val="맑은 고딕"/>
        <family val="3"/>
        <charset val="129"/>
        <scheme val="minor"/>
      </rPr>
      <t xml:space="preserve">통계작성 및 학술연구 등의 목적을 위해 필요한 경우로, 특정 개인을 알아볼 수 없는 형태로 개인정보를 제공하는 경우
  </t>
    </r>
    <r>
      <rPr>
        <sz val="10"/>
        <rFont val="Segoe UI Symbol"/>
        <family val="3"/>
      </rPr>
      <t xml:space="preserve">▪ </t>
    </r>
    <r>
      <rPr>
        <sz val="10"/>
        <rFont val="맑은 고딕"/>
        <family val="3"/>
        <charset val="129"/>
        <scheme val="minor"/>
      </rPr>
      <t>서울대학교의 통계작성, 학술연구 등의 목적을 위해 필요한 경우로 개인정보를 제공하는 경우</t>
    </r>
    <phoneticPr fontId="4" type="noConversion"/>
  </si>
  <si>
    <t>1. I Hereby pledge myself to observe the following regulations while participating in the research and development project,</t>
    <phoneticPr fontId="4" type="noConversion"/>
  </si>
  <si>
    <t xml:space="preserve">   at Seoul National University(SNU).</t>
    <phoneticPr fontId="4" type="noConversion"/>
  </si>
  <si>
    <t>2. I Hereby pledge myself not to leak out confidential information that is obtained while conducting my research work</t>
    <phoneticPr fontId="4" type="noConversion"/>
  </si>
  <si>
    <t xml:space="preserve">   not only during but also after my stay at SNU.</t>
    <phoneticPr fontId="4" type="noConversion"/>
  </si>
  <si>
    <t>3. I duly sign here with full understanding that I will be punished for any violation of the above mentioned regulations.</t>
    <phoneticPr fontId="4" type="noConversion"/>
  </si>
  <si>
    <t>Personal Information Collection and Usage Agreement</t>
    <phoneticPr fontId="21" type="noConversion"/>
  </si>
  <si>
    <r>
      <t xml:space="preserve">  </t>
    </r>
    <r>
      <rPr>
        <sz val="10"/>
        <rFont val="Segoe UI Symbol"/>
        <family val="2"/>
      </rPr>
      <t>▪</t>
    </r>
    <r>
      <rPr>
        <sz val="10"/>
        <rFont val="맑은 고딕"/>
        <family val="2"/>
        <charset val="129"/>
        <scheme val="minor"/>
      </rPr>
      <t xml:space="preserve"> Required information : Name, sex, date of birth, resident registration number(identifying information), address, e-mail,</t>
    </r>
    <phoneticPr fontId="4" type="noConversion"/>
  </si>
  <si>
    <t xml:space="preserve">     mobile phone number, bank account information, research registration number, affiliation, position, nationality</t>
    <phoneticPr fontId="4" type="noConversion"/>
  </si>
  <si>
    <t xml:space="preserve">     academic register information, payment amount</t>
    <phoneticPr fontId="4" type="noConversion"/>
  </si>
  <si>
    <r>
      <t xml:space="preserve">  </t>
    </r>
    <r>
      <rPr>
        <sz val="10"/>
        <rFont val="Segoe UI Symbol"/>
        <family val="2"/>
      </rPr>
      <t>▪</t>
    </r>
    <r>
      <rPr>
        <sz val="10"/>
        <rFont val="맑은 고딕"/>
        <family val="2"/>
        <charset val="129"/>
        <scheme val="minor"/>
      </rPr>
      <t xml:space="preserve"> Purpose of retention : research management related affairs, including payment of personnel expenses and allowances,</t>
    </r>
    <phoneticPr fontId="4" type="noConversion"/>
  </si>
  <si>
    <t xml:space="preserve">     tax filing, and issuance of various certificates, SNU statistics, and academic research</t>
    <phoneticPr fontId="4" type="noConversion"/>
  </si>
  <si>
    <r>
      <rPr>
        <sz val="10"/>
        <rFont val="맑은 고딕"/>
        <family val="3"/>
        <charset val="129"/>
      </rPr>
      <t>■</t>
    </r>
    <r>
      <rPr>
        <sz val="10"/>
        <rFont val="맑은 고딕"/>
        <family val="2"/>
        <charset val="129"/>
        <scheme val="minor"/>
      </rPr>
      <t xml:space="preserve"> The SNU R&amp;DB Foundation retains personal information(including identifying information) for research management purposes.</t>
    </r>
    <phoneticPr fontId="4" type="noConversion"/>
  </si>
  <si>
    <t xml:space="preserve">    of the Seoul National University Research Funds Management Regulation.</t>
    <phoneticPr fontId="4" type="noConversion"/>
  </si>
  <si>
    <t>■ The collected personal information is retained in accordance with Article 31(Preservation of Related Documents)</t>
    <phoneticPr fontId="4" type="noConversion"/>
  </si>
  <si>
    <t>■ 서울대학교 산학협력단에서는 연구관리 용도로 개인정보(고유식별정보 포함)를 보유하고 있습니다.</t>
    <phoneticPr fontId="4" type="noConversion"/>
  </si>
  <si>
    <t>■ 수집한 개인정보는 「서울대학교 연구비 관리 규정」 제31조(관계서류의 보존)에 따라 보관합니다.</t>
    <phoneticPr fontId="4" type="noConversion"/>
  </si>
  <si>
    <t>■ 개인정보(고유식별정보 포함) 수집에 동의하지 않을 수 있으나, 이 경우 인건비 및 수당지급이 제한될 수 있습니다.</t>
    <phoneticPr fontId="4" type="noConversion"/>
  </si>
  <si>
    <t>■ 서울대학교 산학협력단은 원칙적으로 연구자의 개인정보를 '개인정보 수집 및 이용 동의' 보유목적에서 명시한 범위 내에서
    처리하며, 연구자의 사전 동의 없이는 본래의 범위를 초과하여 처리하거나 제3자에게 제공하지 않습니다. 
    다만, 다음의 경우에는 개인정보를 제공할 수 있습니다.</t>
    <phoneticPr fontId="4" type="noConversion"/>
  </si>
  <si>
    <t>■ 제공된 개인정보는 동의서가 작성된 시점부터 개인정보 제3자 제공목적 달성 시까지 보관됩니다.</t>
    <phoneticPr fontId="4" type="noConversion"/>
  </si>
  <si>
    <t>■ 개인정보 제3자 제공에 동의하지 않을 수 있으나, 이 경우 인건비 및 수당지급이 제한될 수 있습니다.</t>
    <phoneticPr fontId="4" type="noConversion"/>
  </si>
  <si>
    <t>■ You may not agree to the collection of personal information(including identifying information),</t>
    <phoneticPr fontId="4" type="noConversion"/>
  </si>
  <si>
    <t xml:space="preserve">    which can result in the restriction of payment of personnel expenses and allowances.</t>
    <phoneticPr fontId="4" type="noConversion"/>
  </si>
  <si>
    <t>○ Do you agree with the collection of your identifying information and its utilization?               Agree        Disagree</t>
    <phoneticPr fontId="4" type="noConversion"/>
  </si>
  <si>
    <t>Provision Agreement of Personal Information to a Third Party</t>
    <phoneticPr fontId="4" type="noConversion"/>
  </si>
  <si>
    <t>■ The SNU R&amp;DB Foundation handles the personal information of researchers within the scope specified in the purpose of</t>
    <phoneticPr fontId="4" type="noConversion"/>
  </si>
  <si>
    <r>
      <t xml:space="preserve">  </t>
    </r>
    <r>
      <rPr>
        <sz val="10"/>
        <color theme="1"/>
        <rFont val="Segoe UI Symbol"/>
        <family val="2"/>
      </rPr>
      <t>▪</t>
    </r>
    <r>
      <rPr>
        <sz val="10"/>
        <color theme="1"/>
        <rFont val="맑은 고딕"/>
        <family val="2"/>
        <charset val="129"/>
        <scheme val="minor"/>
      </rPr>
      <t xml:space="preserve"> The researcher has agreed to the provision of information to a third party beforehand.
  </t>
    </r>
    <r>
      <rPr>
        <sz val="10"/>
        <color theme="1"/>
        <rFont val="Segoe UI Symbol"/>
        <family val="2"/>
      </rPr>
      <t>▪</t>
    </r>
    <r>
      <rPr>
        <sz val="10"/>
        <color theme="1"/>
        <rFont val="맑은 고딕"/>
        <family val="2"/>
        <charset val="129"/>
        <scheme val="minor"/>
      </rPr>
      <t xml:space="preserve"> The provision is required by legislation.
  </t>
    </r>
    <r>
      <rPr>
        <sz val="10"/>
        <color theme="1"/>
        <rFont val="Segoe UI Symbol"/>
        <family val="2"/>
      </rPr>
      <t>▪</t>
    </r>
    <r>
      <rPr>
        <sz val="10"/>
        <color theme="1"/>
        <rFont val="맑은 고딕"/>
        <family val="2"/>
        <charset val="129"/>
        <scheme val="minor"/>
      </rPr>
      <t xml:space="preserve"> Receiving an agreement is significantly difficult due to economical/technical reasons, during the fulfillment of a contract on
     the provision of services.
  </t>
    </r>
    <r>
      <rPr>
        <sz val="10"/>
        <color theme="1"/>
        <rFont val="Segoe UI Symbol"/>
        <family val="2"/>
      </rPr>
      <t>▪</t>
    </r>
    <r>
      <rPr>
        <sz val="10"/>
        <color theme="1"/>
        <rFont val="맑은 고딕"/>
        <family val="2"/>
        <charset val="129"/>
        <scheme val="minor"/>
      </rPr>
      <t xml:space="preserve"> The provision of information is required anonymously, during the purpose of producing SNU statistics or academic research.
  </t>
    </r>
    <r>
      <rPr>
        <sz val="10"/>
        <color theme="1"/>
        <rFont val="Segoe UI Symbol"/>
        <family val="2"/>
      </rPr>
      <t>▪</t>
    </r>
    <r>
      <rPr>
        <sz val="10"/>
        <color theme="1"/>
        <rFont val="맑은 고딕"/>
        <family val="2"/>
        <charset val="129"/>
        <scheme val="minor"/>
      </rPr>
      <t xml:space="preserve"> The provision of information is required during the purpose of producing SNU statistics or academic research.</t>
    </r>
    <phoneticPr fontId="4" type="noConversion"/>
  </si>
  <si>
    <t xml:space="preserve">    retention of the Personal Information Collection and Usage Agreement, and personal information is not handled
    beyond the specified scope or provided to a third party without prior consent of the researcher. 
    However, for the following cases, personal information may be provided to a third party.</t>
    <phoneticPr fontId="4" type="noConversion"/>
  </si>
  <si>
    <t xml:space="preserve">    personal information provision to a third party is achieved.</t>
    <phoneticPr fontId="4" type="noConversion"/>
  </si>
  <si>
    <t xml:space="preserve">■ The provided personal information is retained from the point in time when agreement is given until the purpose of </t>
    <phoneticPr fontId="4" type="noConversion"/>
  </si>
  <si>
    <t>■ You may not agree to the provision of personal information to a third party, which can result in the restriction of payment of</t>
    <phoneticPr fontId="4" type="noConversion"/>
  </si>
  <si>
    <t xml:space="preserve">    personnel expenses and allowances.</t>
    <phoneticPr fontId="4" type="noConversion"/>
  </si>
  <si>
    <t>연구자 보안서약서 및 개인정보 활용 동의서</t>
    <phoneticPr fontId="4" type="noConversion"/>
  </si>
  <si>
    <t>홍길동</t>
    <phoneticPr fontId="4" type="noConversion"/>
  </si>
  <si>
    <t>홍길동1</t>
    <phoneticPr fontId="4" type="noConversion"/>
  </si>
  <si>
    <t>김재영</t>
    <phoneticPr fontId="62" type="noConversion"/>
  </si>
  <si>
    <r>
      <t xml:space="preserve">대학원생 </t>
    </r>
    <r>
      <rPr>
        <u/>
        <sz val="10"/>
        <color rgb="FF0000FF"/>
        <rFont val="맑은 고딕"/>
        <family val="3"/>
        <charset val="129"/>
      </rPr>
      <t>000</t>
    </r>
    <r>
      <rPr>
        <sz val="10"/>
        <color rgb="FF000000"/>
        <rFont val="맑은 고딕"/>
        <family val="3"/>
        <charset val="129"/>
      </rPr>
      <t xml:space="preserve"> 와/과 지도교수 </t>
    </r>
    <r>
      <rPr>
        <u/>
        <sz val="10"/>
        <color rgb="FF0000FF"/>
        <rFont val="맑은 고딕"/>
        <family val="3"/>
        <charset val="129"/>
      </rPr>
      <t>000</t>
    </r>
    <r>
      <rPr>
        <sz val="10"/>
        <color rgb="FF000000"/>
        <rFont val="맑은 고딕"/>
        <family val="3"/>
        <charset val="129"/>
      </rPr>
      <t xml:space="preserve"> 은/는 다음과 같이 대학원생의 연구보조업무 수행에 관한 사항을 정하고 이를 신의와 성실로 준수하기 위해 동의서를 작성한다.</t>
    </r>
    <phoneticPr fontId="4" type="noConversion"/>
  </si>
  <si>
    <t>연락처</t>
    <phoneticPr fontId="4" type="noConversion"/>
  </si>
  <si>
    <t xml:space="preserve"> (휴대전화번호)</t>
    <phoneticPr fontId="4" type="noConversion"/>
  </si>
  <si>
    <t xml:space="preserve"> (E-mail)</t>
    <phoneticPr fontId="4" type="noConversion"/>
  </si>
  <si>
    <r>
      <t>다. 월별 연구보조업무 수행 지원금</t>
    </r>
    <r>
      <rPr>
        <i/>
        <sz val="10"/>
        <color rgb="FF0000FF"/>
        <rFont val="맑은 고딕"/>
        <family val="3"/>
        <charset val="129"/>
        <scheme val="minor"/>
      </rPr>
      <t xml:space="preserve">(예시) </t>
    </r>
    <phoneticPr fontId="4" type="noConversion"/>
  </si>
  <si>
    <t>월 총 지급액(원)</t>
    <phoneticPr fontId="4" type="noConversion"/>
  </si>
  <si>
    <t>2. 민간연구과제</t>
    <phoneticPr fontId="4" type="noConversion"/>
  </si>
  <si>
    <t>3. 용역연구과제</t>
    <phoneticPr fontId="4" type="noConversion"/>
  </si>
  <si>
    <t>4. 교내연구과제</t>
    <phoneticPr fontId="4" type="noConversion"/>
  </si>
  <si>
    <t xml:space="preserve"> (연구실)</t>
    <phoneticPr fontId="4" type="noConversion"/>
  </si>
  <si>
    <t xml:space="preserve"> (E-mail)</t>
    <phoneticPr fontId="4" type="noConversion"/>
  </si>
  <si>
    <t>나. 대학원생은 본교에서 실시하는 안전·보건교육 및 연구윤리교육을 이수하여야 한다.</t>
    <phoneticPr fontId="4" type="noConversion"/>
  </si>
  <si>
    <t>라. 대학원생은 질병·실종·형사소추 및 제반 법령과 규정상 문제 등으로 연구보조업무 수행이 불가능하거나 업무 능력 미달 또는 
    업무를 성실히 수행하지 아니할 경우 지원이 중지될 수 있다.</t>
    <phoneticPr fontId="4" type="noConversion"/>
  </si>
  <si>
    <t>서울대학교 산학협력단 연구비 산정기준에 따라 대학원생에게 연구보조업무 지원금을 지급하는
RA제도 취지에 동의하며, 아래의 개인정보 제공 활용에 동의합니다.
*제공정보: 성명, 소속, 직위, 계좌번호, 주민등록번호(고유식별번호), 국적, 전화, 이메일 등
*제공사유: 인건비 및 장학금 지급, 세무신고, 연구관리 제반사항, 통계자료 작성 목적으로 활용</t>
    <phoneticPr fontId="4" type="noConversion"/>
  </si>
  <si>
    <t>대학원생 :
지도교수 :</t>
    <phoneticPr fontId="4" type="noConversion"/>
  </si>
  <si>
    <t>홍길동 1
홍길동</t>
    <phoneticPr fontId="4" type="noConversion"/>
  </si>
  <si>
    <t>(서명 또는 인)
(서명 또는 인)</t>
    <phoneticPr fontId="4" type="noConversion"/>
  </si>
  <si>
    <t>■ 서울대학교 산학협력단 연구물품 중앙관리 지침 [별지 제2호 서식]</t>
    <phoneticPr fontId="4" type="noConversion"/>
  </si>
  <si>
    <t>■ 서울대학교 산학협력단 연구물품 중앙관리 지침 [별지 제3호 서식]</t>
    <phoneticPr fontId="4" type="noConversion"/>
  </si>
  <si>
    <t>물품구매 의뢰서</t>
    <phoneticPr fontId="4" type="noConversion"/>
  </si>
  <si>
    <t>과제번호</t>
  </si>
  <si>
    <t>담당자</t>
    <phoneticPr fontId="4" type="noConversion"/>
  </si>
  <si>
    <t>설치장소</t>
    <phoneticPr fontId="4" type="noConversion"/>
  </si>
  <si>
    <t>담당자 연락처</t>
    <phoneticPr fontId="4" type="noConversion"/>
  </si>
  <si>
    <t>담당자 이메일 주소</t>
    <phoneticPr fontId="4" type="noConversion"/>
  </si>
  <si>
    <t>관리기관장</t>
    <phoneticPr fontId="4" type="noConversion"/>
  </si>
  <si>
    <t>목록정보시스템 바로가기</t>
  </si>
  <si>
    <t>5. 규격(성능 및 사양)</t>
    <phoneticPr fontId="21" type="noConversion"/>
  </si>
  <si>
    <t>6. 사용 용도설명</t>
    <phoneticPr fontId="21" type="noConversion"/>
  </si>
  <si>
    <t>(9011.80.4000)</t>
    <phoneticPr fontId="4" type="noConversion"/>
  </si>
  <si>
    <r>
      <t xml:space="preserve">   </t>
    </r>
    <r>
      <rPr>
        <u/>
        <sz val="11"/>
        <color rgb="FF0000FF"/>
        <rFont val="맑은 고딕"/>
        <family val="3"/>
        <charset val="129"/>
        <scheme val="minor"/>
      </rPr>
      <t>어떤 업무에 사용되는지 상세히 기술</t>
    </r>
    <phoneticPr fontId="4" type="noConversion"/>
  </si>
  <si>
    <r>
      <t xml:space="preserve">   </t>
    </r>
    <r>
      <rPr>
        <u/>
        <sz val="11"/>
        <color rgb="FF0000FF"/>
        <rFont val="맑은 고딕"/>
        <family val="3"/>
        <charset val="129"/>
        <scheme val="minor"/>
      </rPr>
      <t>특정 모델명이나 특정 방식(Type)은 기재 불가, 주요 성능이나 규격위주로 기재</t>
    </r>
    <r>
      <rPr>
        <sz val="11"/>
        <rFont val="맑은 고딕"/>
        <family val="3"/>
        <charset val="129"/>
        <scheme val="minor"/>
      </rPr>
      <t xml:space="preserve">
1.
2.
3.
4.
5.
6.
7.</t>
    </r>
    <phoneticPr fontId="21" type="noConversion"/>
  </si>
  <si>
    <t>■ 서울대학교 산학협력단 연구물품 중앙관리 지침 [별지 제4호 서식]</t>
  </si>
  <si>
    <t>■ 서울대학교 산학협력단 연구물품 중앙관리 지침 [별지 제5호 서식]</t>
    <phoneticPr fontId="4" type="noConversion"/>
  </si>
  <si>
    <t>과제번호</t>
    <phoneticPr fontId="21" type="noConversion"/>
  </si>
  <si>
    <t>주   소</t>
    <phoneticPr fontId="21" type="noConversion"/>
  </si>
  <si>
    <r>
      <t xml:space="preserve">  </t>
    </r>
    <r>
      <rPr>
        <u/>
        <sz val="11"/>
        <color rgb="FF0000FF"/>
        <rFont val="맑은 고딕"/>
        <family val="3"/>
        <charset val="129"/>
        <scheme val="minor"/>
      </rPr>
      <t>상세히 기재하여 주시기 바랍니다.</t>
    </r>
    <phoneticPr fontId="4" type="noConversion"/>
  </si>
  <si>
    <t>(예시) 회의참석자 중 외부인사가 포함되어 있으며 외부인사와 일정이 맞지 않아 부득이하게 주말/휴일 회의를 진행하고자 함</t>
    <phoneticPr fontId="4" type="noConversion"/>
  </si>
  <si>
    <t>※ 회의수당은 3시간을 초과할 경우 30만원까지 지급가능
※ 외부소속(기업 및 정부출연기관 등)인 자의 경우 직위 및 업무 중요도를 고려하여 적용
※ 「부정청탁 및 금품 등 수수의 금지에 관한 법률」 제2조 제2호 가목 및 나목에 해당하는 
   공무원, 공직유관단체 및 기관의 장과 그 임직원 등에 대한 강사료는 동 법률 및 그 시행령을 따름</t>
    <phoneticPr fontId="4" type="noConversion"/>
  </si>
  <si>
    <t>*  번역료 정액표</t>
    <phoneticPr fontId="4" type="noConversion"/>
  </si>
  <si>
    <t>(단위: 원)</t>
    <phoneticPr fontId="4" type="noConversion"/>
  </si>
  <si>
    <t>(단위: 원)</t>
    <phoneticPr fontId="4" type="noConversion"/>
  </si>
  <si>
    <t>­번역료는 번역결과물(output)를 기준으로 산정
­한국어, 일어, 중국어 띄어쓰기 포함 800자, 
  그 외 외국어 230words 기준
­외국어→외국어의 번역일 경우 최대 해당 외국어→한국어와 
  한국어→외국어의 단가를 합한 금액 이하로 책정</t>
    <phoneticPr fontId="4" type="noConversion"/>
  </si>
  <si>
    <t>프랑스어, 스페인어, 러시아어 등</t>
    <phoneticPr fontId="4" type="noConversion"/>
  </si>
  <si>
    <t>* 회의수당.원고료.강사료. 자문료 정액표</t>
    <phoneticPr fontId="4" type="noConversion"/>
  </si>
  <si>
    <t>■ 서울대학교 산학협력연구 연구비 산정기준 [표4], [표5], [표7], [표8]</t>
  </si>
  <si>
    <r>
      <rPr>
        <sz val="10"/>
        <color theme="1"/>
        <rFont val="Segoe UI Symbol"/>
        <family val="2"/>
      </rPr>
      <t xml:space="preserve">  ▪</t>
    </r>
    <r>
      <rPr>
        <sz val="10"/>
        <color theme="1"/>
        <rFont val="맑은 고딕"/>
        <family val="2"/>
        <charset val="129"/>
        <scheme val="minor"/>
      </rPr>
      <t xml:space="preserve"> 보유목적 : 인건비 및 수당 지급, 세무신고, 경력증명서 발급 등 연구관리 제반사항</t>
    </r>
    <phoneticPr fontId="4" type="noConversion"/>
  </si>
  <si>
    <r>
      <t xml:space="preserve">  </t>
    </r>
    <r>
      <rPr>
        <sz val="10"/>
        <rFont val="Segoe UI Symbol"/>
        <family val="2"/>
      </rPr>
      <t>▪</t>
    </r>
    <r>
      <rPr>
        <sz val="10"/>
        <rFont val="맑은 고딕"/>
        <family val="2"/>
        <charset val="129"/>
        <scheme val="minor"/>
      </rPr>
      <t xml:space="preserve"> </t>
    </r>
    <r>
      <rPr>
        <sz val="10"/>
        <rFont val="맑은 고딕"/>
        <family val="3"/>
        <charset val="129"/>
        <scheme val="minor"/>
      </rPr>
      <t>이용자</t>
    </r>
    <r>
      <rPr>
        <sz val="10"/>
        <rFont val="맑은 고딕"/>
        <family val="2"/>
        <charset val="129"/>
        <scheme val="minor"/>
      </rPr>
      <t xml:space="preserve">가 사전에 제3자 제공 및 공개에 동의한 경우
  </t>
    </r>
    <r>
      <rPr>
        <sz val="10"/>
        <rFont val="Segoe UI Symbol"/>
        <family val="2"/>
      </rPr>
      <t>▪</t>
    </r>
    <r>
      <rPr>
        <sz val="10"/>
        <rFont val="맑은 고딕"/>
        <family val="2"/>
        <charset val="129"/>
        <scheme val="minor"/>
      </rPr>
      <t xml:space="preserve"> 법령 등에 의해 제공이 요구되는 경우
  </t>
    </r>
    <r>
      <rPr>
        <sz val="10"/>
        <rFont val="Segoe UI Symbol"/>
        <family val="2"/>
      </rPr>
      <t>▪</t>
    </r>
    <r>
      <rPr>
        <sz val="10"/>
        <rFont val="맑은 고딕"/>
        <family val="2"/>
        <charset val="129"/>
        <scheme val="minor"/>
      </rPr>
      <t xml:space="preserve"> 서비스의 제공에 관한 계약의 이행을 위하여 필요한 개인정보로서 경제적/기술적인 사유로 통상의 동의를 받는 것이 현저히 곤란한 경우
  </t>
    </r>
    <r>
      <rPr>
        <sz val="10"/>
        <rFont val="Segoe UI Symbol"/>
        <family val="2"/>
      </rPr>
      <t>▪</t>
    </r>
    <r>
      <rPr>
        <sz val="10"/>
        <rFont val="맑은 고딕"/>
        <family val="2"/>
        <charset val="129"/>
        <scheme val="minor"/>
      </rPr>
      <t xml:space="preserve"> 통계작성 및 학술연구 등의 목적을 위해 필요한 경우로, 특정 개인을 알아볼 수 없는 형태로 개인정보를 제공하는 경우</t>
    </r>
    <phoneticPr fontId="4" type="noConversion"/>
  </si>
  <si>
    <t xml:space="preserve">        </t>
    <phoneticPr fontId="4" type="noConversion"/>
  </si>
  <si>
    <t>1. 과제정보</t>
    <phoneticPr fontId="4" type="noConversion"/>
  </si>
  <si>
    <t>과제번호</t>
    <phoneticPr fontId="4" type="noConversion"/>
  </si>
  <si>
    <t>국가</t>
    <phoneticPr fontId="4" type="noConversion"/>
  </si>
  <si>
    <t>내역(구입품목등)</t>
    <phoneticPr fontId="4" type="noConversion"/>
  </si>
  <si>
    <t>연구책임자</t>
    <phoneticPr fontId="4" type="noConversion"/>
  </si>
  <si>
    <t>받는사람(수취인)</t>
    <phoneticPr fontId="4" type="noConversion"/>
  </si>
  <si>
    <t>송금액</t>
    <phoneticPr fontId="4" type="noConversion"/>
  </si>
  <si>
    <t>2. 확인사항</t>
    <phoneticPr fontId="4" type="noConversion"/>
  </si>
  <si>
    <t>기준</t>
    <phoneticPr fontId="4" type="noConversion"/>
  </si>
  <si>
    <t>확인</t>
    <phoneticPr fontId="4" type="noConversion"/>
  </si>
  <si>
    <t>Y
N</t>
    <phoneticPr fontId="4" type="noConversion"/>
  </si>
  <si>
    <t>※ 부가가치세 계좌: 농협은행 079-17-065704 서울대학교 산학협력단</t>
    <phoneticPr fontId="4" type="noConversion"/>
  </si>
  <si>
    <r>
      <rPr>
        <sz val="11"/>
        <color theme="1"/>
        <rFont val="맑은 고딕"/>
        <family val="3"/>
        <charset val="129"/>
      </rPr>
      <t>■</t>
    </r>
    <r>
      <rPr>
        <sz val="9.9"/>
        <color theme="1"/>
        <rFont val="맑은 고딕"/>
        <family val="3"/>
        <charset val="129"/>
      </rPr>
      <t xml:space="preserve"> </t>
    </r>
    <r>
      <rPr>
        <sz val="11"/>
        <color theme="1"/>
        <rFont val="맑은 고딕"/>
        <family val="2"/>
        <charset val="129"/>
        <scheme val="minor"/>
      </rPr>
      <t>부가가치세법 제52조 대리납부</t>
    </r>
    <phoneticPr fontId="4" type="noConversion"/>
  </si>
  <si>
    <r>
      <rPr>
        <b/>
        <sz val="11"/>
        <color rgb="FF0000FF"/>
        <rFont val="나눔고딕"/>
        <family val="3"/>
        <charset val="129"/>
      </rPr>
      <t>※</t>
    </r>
    <r>
      <rPr>
        <b/>
        <sz val="9.35"/>
        <color rgb="FF0000FF"/>
        <rFont val="맑은 고딕"/>
        <family val="3"/>
        <charset val="129"/>
      </rPr>
      <t xml:space="preserve"> </t>
    </r>
    <r>
      <rPr>
        <b/>
        <sz val="11"/>
        <color rgb="FF0000FF"/>
        <rFont val="맑은 고딕"/>
        <family val="3"/>
        <charset val="129"/>
        <scheme val="minor"/>
      </rPr>
      <t>부가가치세 대리납부 관련 법령</t>
    </r>
    <phoneticPr fontId="4" type="noConversion"/>
  </si>
  <si>
    <t>참고용</t>
    <phoneticPr fontId="4" type="noConversion"/>
  </si>
  <si>
    <r>
      <rPr>
        <b/>
        <sz val="11"/>
        <color rgb="FF0000FF"/>
        <rFont val="맑은 고딕"/>
        <family val="3"/>
        <charset val="129"/>
        <scheme val="minor"/>
      </rPr>
      <t>[전자동의]</t>
    </r>
    <r>
      <rPr>
        <sz val="11"/>
        <color theme="1"/>
        <rFont val="맑은 고딕"/>
        <family val="3"/>
        <charset val="129"/>
        <scheme val="minor"/>
      </rPr>
      <t xml:space="preserve"> 보안서약서 및 개인정보활용동의서</t>
    </r>
    <phoneticPr fontId="4" type="noConversion"/>
  </si>
  <si>
    <r>
      <rPr>
        <b/>
        <sz val="11"/>
        <color rgb="FF0000FF"/>
        <rFont val="맑은 고딕"/>
        <family val="3"/>
        <charset val="129"/>
        <scheme val="minor"/>
      </rPr>
      <t>[전자동의]</t>
    </r>
    <r>
      <rPr>
        <sz val="11"/>
        <color theme="1"/>
        <rFont val="맑은 고딕"/>
        <family val="3"/>
        <charset val="129"/>
        <scheme val="minor"/>
      </rPr>
      <t xml:space="preserve"> 학생연구자 연구참여확약서/대학원생 연구보조업무 수행 동의서</t>
    </r>
    <phoneticPr fontId="4" type="noConversion"/>
  </si>
  <si>
    <r>
      <rPr>
        <b/>
        <sz val="11"/>
        <color rgb="FF0000FF"/>
        <rFont val="맑은 고딕"/>
        <family val="3"/>
        <charset val="129"/>
        <scheme val="minor"/>
      </rPr>
      <t>[전자동의]</t>
    </r>
    <r>
      <rPr>
        <b/>
        <sz val="11"/>
        <rFont val="맑은 고딕"/>
        <family val="3"/>
        <charset val="129"/>
        <scheme val="minor"/>
      </rPr>
      <t xml:space="preserve"> 학생연구자 연구참여확약서</t>
    </r>
    <phoneticPr fontId="4" type="noConversion"/>
  </si>
  <si>
    <t>※ 연구자가 원소속기관 이외의 기관에 중복하여 과제 참여시 작성</t>
    <phoneticPr fontId="4" type="noConversion"/>
  </si>
  <si>
    <t>표준
서식</t>
    <phoneticPr fontId="4" type="noConversion"/>
  </si>
  <si>
    <t>서울대학교 산학협력단</t>
    <phoneticPr fontId="4" type="noConversion"/>
  </si>
  <si>
    <r>
      <rPr>
        <b/>
        <sz val="11"/>
        <color rgb="FF0000FF"/>
        <rFont val="맑은 고딕"/>
        <family val="3"/>
        <charset val="129"/>
        <scheme val="minor"/>
      </rPr>
      <t xml:space="preserve">[전자동의] </t>
    </r>
    <r>
      <rPr>
        <b/>
        <sz val="11"/>
        <rFont val="맑은 고딕"/>
        <family val="3"/>
        <charset val="129"/>
        <scheme val="minor"/>
      </rPr>
      <t>보안서약서 및 개인정보활용동의서</t>
    </r>
    <phoneticPr fontId="4" type="noConversion"/>
  </si>
  <si>
    <t>■ 서울대학교 학생연구자 지원 규정 [별지 제1호 서식]</t>
    <phoneticPr fontId="62" type="noConversion"/>
  </si>
  <si>
    <r>
      <t xml:space="preserve">학생인건비통합관리기관장의 장과 연구책임자계정의 계정책임자       </t>
    </r>
    <r>
      <rPr>
        <b/>
        <u/>
        <sz val="10"/>
        <color rgb="FF0000FF"/>
        <rFont val="맑은 고딕"/>
        <family val="3"/>
        <charset val="129"/>
        <scheme val="minor"/>
      </rPr>
      <t>홍길동</t>
    </r>
    <r>
      <rPr>
        <b/>
        <sz val="10"/>
        <color rgb="FF0000FF"/>
        <rFont val="맑은 고딕"/>
        <family val="3"/>
        <charset val="129"/>
        <scheme val="minor"/>
      </rPr>
      <t xml:space="preserve">    </t>
    </r>
    <r>
      <rPr>
        <b/>
        <sz val="10"/>
        <color rgb="FF000000"/>
        <rFont val="맑은 고딕"/>
        <family val="3"/>
        <charset val="129"/>
        <scheme val="minor"/>
      </rPr>
      <t xml:space="preserve">   과 학생연구자       </t>
    </r>
    <r>
      <rPr>
        <b/>
        <u/>
        <sz val="10"/>
        <color rgb="FF0000FF"/>
        <rFont val="맑은 고딕"/>
        <family val="3"/>
        <charset val="129"/>
        <scheme val="minor"/>
      </rPr>
      <t>홍길동1</t>
    </r>
    <r>
      <rPr>
        <b/>
        <sz val="10"/>
        <color rgb="FF0000FF"/>
        <rFont val="맑은 고딕"/>
        <family val="3"/>
        <charset val="129"/>
        <scheme val="minor"/>
      </rPr>
      <t xml:space="preserve">      </t>
    </r>
    <r>
      <rPr>
        <b/>
        <sz val="10"/>
        <color rgb="FF000000"/>
        <rFont val="맑은 고딕"/>
        <family val="3"/>
        <charset val="129"/>
        <scheme val="minor"/>
      </rPr>
      <t xml:space="preserve"> 은 
다음과 같이 학생연구자 </t>
    </r>
    <r>
      <rPr>
        <b/>
        <sz val="10"/>
        <rFont val="맑은 고딕"/>
        <family val="3"/>
        <charset val="129"/>
        <scheme val="minor"/>
      </rPr>
      <t>연구참여 확약</t>
    </r>
    <r>
      <rPr>
        <b/>
        <sz val="10"/>
        <color rgb="FF000000"/>
        <rFont val="맑은 고딕"/>
        <family val="3"/>
        <charset val="129"/>
        <scheme val="minor"/>
      </rPr>
      <t>에 필요한 사항을 정하고 이를 신의와 성실로 준수하기 위해 동 연구참여확약서를 체결한다.</t>
    </r>
    <phoneticPr fontId="62" type="noConversion"/>
  </si>
  <si>
    <r>
      <t xml:space="preserve">
  가. 학생연구자는 연구 수행에 필요한 담당업무를 </t>
    </r>
    <r>
      <rPr>
        <sz val="10"/>
        <rFont val="맑은 고딕"/>
        <family val="3"/>
        <charset val="129"/>
        <scheme val="minor"/>
      </rPr>
      <t xml:space="preserve">성실히 수행한다.
</t>
    </r>
    <r>
      <rPr>
        <sz val="10"/>
        <color rgb="FF000000"/>
        <rFont val="맑은 고딕"/>
        <family val="3"/>
        <charset val="129"/>
        <scheme val="minor"/>
      </rPr>
      <t xml:space="preserve">  나. 계정책임자는 학생연구자의 정당한 학업활동 및 연구활동 등을 보장하기 위해 노력하고, 학생연구자 제도를 공정하고 투명하게 운영한다.
  다. 계정책임자는 학생연구자에게 연구 내용과 무관한 업무를 지시하거나 사적 업무에 동원하지 않는다.
  라. 학생연구자는 본교에서 실시하는 안전·보건교육 및 연구윤리교육을 이수하여야 한다.
  마. 계정책임자는 인권, 양성평등, 윤리 등에 관한 교육을 이수하고 학생연구자에게 폭언·폭행·성추행 및 성희롱 등을 포함한 제반 권리를 침해하지 않는다.
  바. 계정책임자는 학생연구자에게 지급된 학생인건비를 어떠한 이유에서든지 회수하여 공동으로 관리 또는 사용(학생인건비부당회수)하지 않는다.
  사. 학생연구자는 계정책임자가 연구참여확약서 조건을 위반하였을 경우 연구기관에 시정을 요구할 수 있다.
  아. 학생연구자는 동 연구참여확약서에 따라 지급 받는 인건비 이외에 타 소득이 발생한 경우 계정책임자 및 소속된 연구기관에 반드시 통보하여야 한다.
  자. 계정책임자는 학생연구자가 질병·실종·형사소추 등으로 업무 수행이 불가능하거나 업무 능력 미달 또는 업무를 성실히 수행하지 아니할 경우 연구참여확약을
      취소할 수 있다.
</t>
    </r>
    <phoneticPr fontId="62" type="noConversion"/>
  </si>
  <si>
    <t>□ 운용부서</t>
    <phoneticPr fontId="4" type="noConversion"/>
  </si>
  <si>
    <t>1. 본체(Main body) :</t>
    <phoneticPr fontId="21" type="noConversion"/>
  </si>
  <si>
    <t>Ⅲ. 성능 및 규격(Performance and Specification)</t>
    <phoneticPr fontId="21" type="noConversion"/>
  </si>
  <si>
    <t>모델명 및 규격</t>
    <phoneticPr fontId="21" type="noConversion"/>
  </si>
  <si>
    <t>계약대상자 주소</t>
    <phoneticPr fontId="21" type="noConversion"/>
  </si>
  <si>
    <t xml:space="preserve">
[붙임] (국외 출장)출입국 관련 증명자료(출입국에 관한 사실증명서 또는 여권사본 등) 1부.</t>
    <phoneticPr fontId="4" type="noConversion"/>
  </si>
  <si>
    <t>회의장소</t>
    <phoneticPr fontId="4" type="noConversion"/>
  </si>
  <si>
    <t>[ Personal Information Collection and Usage Agreement ]</t>
    <phoneticPr fontId="21" type="noConversion"/>
  </si>
  <si>
    <r>
      <t xml:space="preserve">▶ </t>
    </r>
    <r>
      <rPr>
        <sz val="10"/>
        <rFont val="맑은 고딕"/>
        <family val="3"/>
        <charset val="129"/>
        <scheme val="minor"/>
      </rPr>
      <t>The SNU R&amp;DB Foundation retains personal information(including identifying information) for research management purposes.</t>
    </r>
    <r>
      <rPr>
        <sz val="10"/>
        <rFont val="맑은 고딕"/>
        <family val="2"/>
        <charset val="129"/>
        <scheme val="minor"/>
      </rPr>
      <t xml:space="preserve">
  </t>
    </r>
    <r>
      <rPr>
        <sz val="10"/>
        <rFont val="Segoe UI Symbol"/>
        <family val="2"/>
      </rPr>
      <t>▪</t>
    </r>
    <r>
      <rPr>
        <sz val="10"/>
        <rFont val="맑은 고딕"/>
        <family val="3"/>
        <charset val="129"/>
        <scheme val="minor"/>
      </rPr>
      <t xml:space="preserve"> Required information : name, affiliation, position, account number, personal identification number, nationality, phone number, E-mail.
  </t>
    </r>
    <r>
      <rPr>
        <sz val="10"/>
        <rFont val="Segoe UI Symbol"/>
        <family val="2"/>
      </rPr>
      <t>▪</t>
    </r>
    <r>
      <rPr>
        <sz val="10"/>
        <rFont val="맑은 고딕"/>
        <family val="3"/>
        <charset val="129"/>
        <scheme val="minor"/>
      </rPr>
      <t xml:space="preserve"> Purpose of retention : research management related affairs including payment of the personnel expenses and incentive, tax affairs report, career certificate issuance.
▶ The collected personal information is retained in accordance with Article 31(Preservation of Related Documents) of the Seoul National University
    Research Funds Management Regulation.
▶ You may not agree to the collection of personal information(including identifying information), which can result in the restriction of payment of
    personnel expenses and allowances.</t>
    </r>
    <phoneticPr fontId="4" type="noConversion"/>
  </si>
  <si>
    <r>
      <t xml:space="preserve">○ </t>
    </r>
    <r>
      <rPr>
        <sz val="10"/>
        <rFont val="맑은 고딕"/>
        <family val="3"/>
        <charset val="129"/>
        <scheme val="minor"/>
      </rPr>
      <t>Do you agree with the collection of your personal information and its utilization?</t>
    </r>
    <phoneticPr fontId="4" type="noConversion"/>
  </si>
  <si>
    <r>
      <t xml:space="preserve">○ </t>
    </r>
    <r>
      <rPr>
        <sz val="10"/>
        <rFont val="맑은 고딕"/>
        <family val="3"/>
        <charset val="129"/>
        <scheme val="minor"/>
      </rPr>
      <t>Do you agree with the collection of your identifying information and its utilization?</t>
    </r>
    <phoneticPr fontId="4" type="noConversion"/>
  </si>
  <si>
    <t>[ Provision Agreement of Personal Information to a Third Party ]</t>
    <phoneticPr fontId="4" type="noConversion"/>
  </si>
  <si>
    <r>
      <t xml:space="preserve">▶ </t>
    </r>
    <r>
      <rPr>
        <sz val="10"/>
        <rFont val="맑은 고딕"/>
        <family val="3"/>
        <charset val="129"/>
        <scheme val="minor"/>
      </rPr>
      <t xml:space="preserve">The SNU R&amp;DB Foundation handles the personal information of the user within the scope specified in the purpose of retention of the Personal
    Information Collection and Usage Agreement, and personal information is not handled beyond the specified scope or provided to a third party
    without prior consent of the user. However, for the following cases, personal information may be provided to a third party.
</t>
    </r>
    <r>
      <rPr>
        <sz val="10"/>
        <rFont val="맑은 고딕"/>
        <family val="2"/>
        <charset val="129"/>
        <scheme val="minor"/>
      </rPr>
      <t xml:space="preserve">    </t>
    </r>
    <r>
      <rPr>
        <sz val="10"/>
        <rFont val="Segoe UI Symbol"/>
        <family val="2"/>
      </rPr>
      <t>▪</t>
    </r>
    <r>
      <rPr>
        <sz val="10"/>
        <rFont val="맑은 고딕"/>
        <family val="3"/>
        <charset val="129"/>
        <scheme val="minor"/>
      </rPr>
      <t xml:space="preserve"> The user have agreed to the provision of information to a third party beforehand.
    </t>
    </r>
    <r>
      <rPr>
        <sz val="10"/>
        <rFont val="Segoe UI Symbol"/>
        <family val="2"/>
      </rPr>
      <t>▪</t>
    </r>
    <r>
      <rPr>
        <sz val="10"/>
        <rFont val="맑은 고딕"/>
        <family val="3"/>
        <charset val="129"/>
        <scheme val="minor"/>
      </rPr>
      <t xml:space="preserve"> The provision is required by legislation.
    </t>
    </r>
    <r>
      <rPr>
        <sz val="10"/>
        <rFont val="Segoe UI Symbol"/>
        <family val="2"/>
      </rPr>
      <t>▪</t>
    </r>
    <r>
      <rPr>
        <sz val="10"/>
        <rFont val="맑은 고딕"/>
        <family val="3"/>
        <charset val="129"/>
        <scheme val="minor"/>
      </rPr>
      <t xml:space="preserve"> Receiving an agreement is significantly difficult due to economical/technical reasons, during the fulfillment of a contract on the provision of
       services.
    </t>
    </r>
    <r>
      <rPr>
        <sz val="10"/>
        <rFont val="Segoe UI Symbol"/>
        <family val="2"/>
      </rPr>
      <t>▪</t>
    </r>
    <r>
      <rPr>
        <sz val="10"/>
        <rFont val="맑은 고딕"/>
        <family val="3"/>
        <charset val="129"/>
        <scheme val="minor"/>
      </rPr>
      <t xml:space="preserve"> The provision of information is required anonymously, during the purpose of producing SNU statistics or academic research.</t>
    </r>
    <phoneticPr fontId="4" type="noConversion"/>
  </si>
  <si>
    <t>[ 개인정보 수집 및 이용 동의 ]</t>
    <phoneticPr fontId="21" type="noConversion"/>
  </si>
  <si>
    <t>[ 개인정보의 제3자 제공 동의 ]</t>
    <phoneticPr fontId="4" type="noConversion"/>
  </si>
  <si>
    <t>▶ 서울대학교 산학협력단은 원칙적으로 이용자의 개인정보를 [개인정보의 수집 및 이용 동의]  보유목적에서 명시한 범위 내에서 처리하며, 이용자의 
    사전 동의 없이는 본래의 범위를 초과하여 처리하거나 제3자에게 제공하지 않습니다. 다만, 다음의 경우에는 개인정보를 제3자에게 제공할 수 있습니다.</t>
    <phoneticPr fontId="4" type="noConversion"/>
  </si>
  <si>
    <t>1</t>
    <phoneticPr fontId="4" type="noConversion"/>
  </si>
  <si>
    <t>4</t>
    <phoneticPr fontId="4" type="noConversion"/>
  </si>
  <si>
    <t>10</t>
    <phoneticPr fontId="4" type="noConversion"/>
  </si>
  <si>
    <t>2-1</t>
    <phoneticPr fontId="4" type="noConversion"/>
  </si>
  <si>
    <t>2-2</t>
    <phoneticPr fontId="4" type="noConversion"/>
  </si>
  <si>
    <t>3</t>
    <phoneticPr fontId="4" type="noConversion"/>
  </si>
  <si>
    <t>6</t>
    <phoneticPr fontId="4" type="noConversion"/>
  </si>
  <si>
    <t>7</t>
    <phoneticPr fontId="4" type="noConversion"/>
  </si>
  <si>
    <t>8</t>
    <phoneticPr fontId="4" type="noConversion"/>
  </si>
  <si>
    <t>9</t>
    <phoneticPr fontId="4" type="noConversion"/>
  </si>
  <si>
    <t>A</t>
    <phoneticPr fontId="4" type="noConversion"/>
  </si>
  <si>
    <t>B</t>
    <phoneticPr fontId="4" type="noConversion"/>
  </si>
  <si>
    <t>C</t>
    <phoneticPr fontId="4" type="noConversion"/>
  </si>
  <si>
    <t>D</t>
    <phoneticPr fontId="4" type="noConversion"/>
  </si>
  <si>
    <t>E</t>
    <phoneticPr fontId="4" type="noConversion"/>
  </si>
  <si>
    <t>F</t>
    <phoneticPr fontId="4" type="noConversion"/>
  </si>
  <si>
    <r>
      <rPr>
        <b/>
        <sz val="11"/>
        <color rgb="FFCC00CC"/>
        <rFont val="맑은 고딕"/>
        <family val="3"/>
        <charset val="129"/>
        <scheme val="minor"/>
      </rPr>
      <t>[SRnD]</t>
    </r>
    <r>
      <rPr>
        <sz val="11"/>
        <color rgb="FFCC00CC"/>
        <rFont val="맑은 고딕"/>
        <family val="3"/>
        <charset val="129"/>
        <scheme val="minor"/>
      </rPr>
      <t xml:space="preserve"> </t>
    </r>
    <r>
      <rPr>
        <sz val="11"/>
        <color theme="1"/>
        <rFont val="맑은 고딕"/>
        <family val="3"/>
        <charset val="129"/>
        <scheme val="minor"/>
      </rPr>
      <t>외부참여연구자 소속기관장 확인서</t>
    </r>
    <phoneticPr fontId="4" type="noConversion"/>
  </si>
  <si>
    <r>
      <rPr>
        <b/>
        <sz val="11"/>
        <color rgb="FFCC00CC"/>
        <rFont val="맑은 고딕"/>
        <family val="3"/>
        <charset val="129"/>
        <scheme val="minor"/>
      </rPr>
      <t>[SRnD]</t>
    </r>
    <r>
      <rPr>
        <b/>
        <sz val="11"/>
        <color rgb="FF00B050"/>
        <rFont val="맑은 고딕"/>
        <family val="3"/>
        <charset val="129"/>
        <scheme val="minor"/>
      </rPr>
      <t xml:space="preserve"> </t>
    </r>
    <r>
      <rPr>
        <sz val="11"/>
        <color theme="1"/>
        <rFont val="맑은 고딕"/>
        <family val="3"/>
        <charset val="129"/>
        <scheme val="minor"/>
      </rPr>
      <t>국내·외 출장신청(명령)서 / 국내·외 출장결과보고서</t>
    </r>
    <phoneticPr fontId="4" type="noConversion"/>
  </si>
  <si>
    <r>
      <rPr>
        <b/>
        <sz val="11"/>
        <color rgb="FFCC00CC"/>
        <rFont val="맑은 고딕"/>
        <family val="3"/>
        <charset val="129"/>
        <scheme val="minor"/>
      </rPr>
      <t>[SRnD]</t>
    </r>
    <r>
      <rPr>
        <sz val="11"/>
        <color theme="1"/>
        <rFont val="맑은 고딕"/>
        <family val="3"/>
        <charset val="129"/>
        <scheme val="minor"/>
      </rPr>
      <t xml:space="preserve"> 연구수당 기여도평가서 및 지급신청서</t>
    </r>
    <phoneticPr fontId="4" type="noConversion"/>
  </si>
  <si>
    <r>
      <rPr>
        <b/>
        <sz val="11"/>
        <color rgb="FFCC00CC"/>
        <rFont val="맑은 고딕"/>
        <family val="3"/>
        <charset val="129"/>
        <scheme val="minor"/>
      </rPr>
      <t>[SRnD]</t>
    </r>
    <r>
      <rPr>
        <sz val="11"/>
        <color rgb="FFCC00CC"/>
        <rFont val="맑은 고딕"/>
        <family val="3"/>
        <charset val="129"/>
        <scheme val="minor"/>
      </rPr>
      <t xml:space="preserve"> </t>
    </r>
    <r>
      <rPr>
        <sz val="11"/>
        <color theme="1"/>
        <rFont val="맑은 고딕"/>
        <family val="3"/>
        <charset val="129"/>
        <scheme val="minor"/>
      </rPr>
      <t>보안수당 지급 신청서</t>
    </r>
    <phoneticPr fontId="4" type="noConversion"/>
  </si>
  <si>
    <r>
      <t>표준 거래명세서</t>
    </r>
    <r>
      <rPr>
        <sz val="10"/>
        <color rgb="FF0000FF"/>
        <rFont val="맑은 고딕"/>
        <family val="3"/>
        <charset val="129"/>
        <scheme val="minor"/>
      </rPr>
      <t>(SRnD연구비지출신청&gt;일반tab 업로드 가능)</t>
    </r>
    <phoneticPr fontId="4" type="noConversion"/>
  </si>
  <si>
    <r>
      <rPr>
        <b/>
        <sz val="9"/>
        <color rgb="FF0000FF"/>
        <rFont val="맑은 고딕"/>
        <family val="3"/>
        <charset val="129"/>
      </rPr>
      <t>※ 유의사항</t>
    </r>
    <r>
      <rPr>
        <sz val="9"/>
        <color rgb="FF0000FF"/>
        <rFont val="맑은 고딕"/>
        <family val="3"/>
        <charset val="129"/>
      </rPr>
      <t xml:space="preserve">
 1) </t>
    </r>
    <r>
      <rPr>
        <b/>
        <sz val="9"/>
        <color rgb="FF0000FF"/>
        <rFont val="맑은 고딕"/>
        <family val="3"/>
        <charset val="129"/>
      </rPr>
      <t>참여기간은 최소 학기 단위(1학기는 3월~8월, 2학기는 9월~익년 2월)로 작성</t>
    </r>
    <r>
      <rPr>
        <sz val="9"/>
        <color rgb="FF0000FF"/>
        <rFont val="맑은 고딕"/>
        <family val="3"/>
        <charset val="129"/>
      </rPr>
      <t xml:space="preserve">하는 것을 원칙으로 함
    다만, 신규 연구개발과제 협약 변경, 중단, 해약 등 불가피한 경우에는 변경할 수 있음
    월지급액이 변경될 경우에는 </t>
    </r>
    <r>
      <rPr>
        <b/>
        <sz val="9"/>
        <color rgb="FF0000FF"/>
        <rFont val="맑은 고딕"/>
        <family val="3"/>
        <charset val="129"/>
      </rPr>
      <t>‘변경 월~8월’</t>
    </r>
    <r>
      <rPr>
        <sz val="9"/>
        <color rgb="FF0000FF"/>
        <rFont val="맑은 고딕"/>
        <family val="3"/>
        <charset val="129"/>
      </rPr>
      <t xml:space="preserve"> 또는 </t>
    </r>
    <r>
      <rPr>
        <b/>
        <sz val="9"/>
        <color rgb="FF0000FF"/>
        <rFont val="맑은 고딕"/>
        <family val="3"/>
        <charset val="129"/>
      </rPr>
      <t>‘변경 월~익년 2월’</t>
    </r>
    <r>
      <rPr>
        <sz val="9"/>
        <color rgb="FF0000FF"/>
        <rFont val="맑은 고딕"/>
        <family val="3"/>
        <charset val="129"/>
      </rPr>
      <t xml:space="preserve">로 작성하여 재 제출함
 2) </t>
    </r>
    <r>
      <rPr>
        <b/>
        <sz val="9"/>
        <color rgb="FF0000FF"/>
        <rFont val="맑은 고딕"/>
        <family val="3"/>
        <charset val="129"/>
      </rPr>
      <t>석박사통합과정</t>
    </r>
    <r>
      <rPr>
        <sz val="9"/>
        <color rgb="FF0000FF"/>
        <rFont val="맑은 고딕"/>
        <family val="3"/>
        <charset val="129"/>
      </rPr>
      <t xml:space="preserve">의 경우 </t>
    </r>
    <r>
      <rPr>
        <b/>
        <sz val="9"/>
        <color rgb="FF0000FF"/>
        <rFont val="맑은 고딕"/>
        <family val="3"/>
        <charset val="129"/>
      </rPr>
      <t>학기별 인정 과정</t>
    </r>
    <r>
      <rPr>
        <sz val="9"/>
        <color rgb="FF0000FF"/>
        <rFont val="맑은 고딕"/>
        <family val="3"/>
        <charset val="129"/>
      </rPr>
      <t xml:space="preserve">으로 작성함
 3) </t>
    </r>
    <r>
      <rPr>
        <b/>
        <sz val="9"/>
        <color rgb="FF0000FF"/>
        <rFont val="맑은 고딕"/>
        <family val="3"/>
        <charset val="129"/>
      </rPr>
      <t>연구생등록자</t>
    </r>
    <r>
      <rPr>
        <sz val="9"/>
        <color rgb="FF0000FF"/>
        <rFont val="맑은 고딕"/>
        <family val="3"/>
        <charset val="129"/>
      </rPr>
      <t xml:space="preserve">는 과정을 </t>
    </r>
    <r>
      <rPr>
        <b/>
        <sz val="9"/>
        <color rgb="FF0000FF"/>
        <rFont val="맑은 고딕"/>
        <family val="3"/>
        <charset val="129"/>
      </rPr>
      <t>박사수료</t>
    </r>
    <r>
      <rPr>
        <sz val="9"/>
        <color rgb="FF0000FF"/>
        <rFont val="맑은 고딕"/>
        <family val="3"/>
        <charset val="129"/>
      </rPr>
      <t xml:space="preserve"> 또는 </t>
    </r>
    <r>
      <rPr>
        <b/>
        <sz val="9"/>
        <color rgb="FF0000FF"/>
        <rFont val="맑은 고딕"/>
        <family val="3"/>
        <charset val="129"/>
      </rPr>
      <t>석사수료</t>
    </r>
    <r>
      <rPr>
        <sz val="9"/>
        <color rgb="FF0000FF"/>
        <rFont val="맑은 고딕"/>
        <family val="3"/>
        <charset val="129"/>
      </rPr>
      <t xml:space="preserve">로 선택
</t>
    </r>
    <r>
      <rPr>
        <b/>
        <sz val="9"/>
        <color rgb="FF0000FF"/>
        <rFont val="맑은 고딕"/>
        <family val="3"/>
        <charset val="129"/>
      </rPr>
      <t>※ 작성요령</t>
    </r>
    <r>
      <rPr>
        <sz val="9"/>
        <color rgb="FF0000FF"/>
        <rFont val="맑은 고딕"/>
        <family val="3"/>
        <charset val="129"/>
      </rPr>
      <t xml:space="preserve">
1. 학생연구자 인적사항
 1) 과정: 해당 과정 선택
 2) 학기 : 1학기 (3월 ~ 8월) / 2학기 (9월 ~ 익년 2월) 
2. 연구참여정보
 1) 담당업무: 해당 업무 선택(작성 필요시 아래 셀 선택 후 수기 작성)
 2) 참여기간: 해당 참여기간 입력
 3) 지급액: 월 지급될 급여 입력(근로소득자의 경우 기관부담 및 퇴직적립금 제외 한 금액 입력→ 근로소득계산표 별도제출)
 4) 지급률: 과정 및 지급액 작성 시 지급률 자동 계산(소수점 셋째자리 버림)
    - 과정별 지급단가: 박사: </t>
    </r>
    <r>
      <rPr>
        <b/>
        <sz val="9"/>
        <color rgb="FF0000FF"/>
        <rFont val="맑은 고딕"/>
        <family val="3"/>
        <charset val="129"/>
      </rPr>
      <t>3,000,000,</t>
    </r>
    <r>
      <rPr>
        <sz val="9"/>
        <color rgb="FF0000FF"/>
        <rFont val="맑은 고딕"/>
        <family val="3"/>
        <charset val="129"/>
      </rPr>
      <t xml:space="preserve"> 석사: </t>
    </r>
    <r>
      <rPr>
        <b/>
        <sz val="9"/>
        <color rgb="FF0000FF"/>
        <rFont val="맑은 고딕"/>
        <family val="3"/>
        <charset val="129"/>
      </rPr>
      <t>2,200,000</t>
    </r>
    <r>
      <rPr>
        <sz val="9"/>
        <color rgb="FF0000FF"/>
        <rFont val="맑은 고딕"/>
        <family val="3"/>
        <charset val="129"/>
      </rPr>
      <t xml:space="preserve">, 학사: </t>
    </r>
    <r>
      <rPr>
        <b/>
        <sz val="9"/>
        <color rgb="FF0000FF"/>
        <rFont val="맑은 고딕"/>
        <family val="3"/>
        <charset val="129"/>
      </rPr>
      <t>1,300,000</t>
    </r>
    <r>
      <rPr>
        <sz val="9"/>
        <color rgb="FF0000FF"/>
        <rFont val="맑은 고딕"/>
        <family val="3"/>
        <charset val="129"/>
      </rPr>
      <t xml:space="preserve">
3. 기타
 1) 신규 및 변경(변경사항) 필히 체크
 2) </t>
    </r>
    <r>
      <rPr>
        <b/>
        <u/>
        <sz val="9"/>
        <color rgb="FF0000FF"/>
        <rFont val="맑은 고딕"/>
        <family val="3"/>
        <charset val="129"/>
      </rPr>
      <t>홍길동</t>
    </r>
    <r>
      <rPr>
        <sz val="9"/>
        <color rgb="FF0000FF"/>
        <rFont val="맑은 고딕"/>
        <family val="3"/>
        <charset val="129"/>
      </rPr>
      <t xml:space="preserve"> 입력시 계정책임자 성명 자동 입력, </t>
    </r>
    <r>
      <rPr>
        <b/>
        <u/>
        <sz val="9"/>
        <color rgb="FF0000FF"/>
        <rFont val="맑은 고딕"/>
        <family val="3"/>
        <charset val="129"/>
      </rPr>
      <t xml:space="preserve">홍길동 1 </t>
    </r>
    <r>
      <rPr>
        <sz val="9"/>
        <color rgb="FF0000FF"/>
        <rFont val="맑은 고딕"/>
        <family val="3"/>
        <charset val="129"/>
      </rPr>
      <t xml:space="preserve">입력시 학생연구자 성명 자동 입력
 3) 계정번호: 빈란으로 제출(학생인건비 지출 담당자 별도 수기 입력)
 4) 학생연구자 및 연구책임자계정의 계정책임자 서명 필수 
</t>
    </r>
    <phoneticPr fontId="62" type="noConversion"/>
  </si>
  <si>
    <t>서울대학교 총장 귀하</t>
  </si>
  <si>
    <t>■ 서울대학교 산학협력단 연구물품 중앙관리 지침 [별지 제1호 서식]</t>
    <phoneticPr fontId="4" type="noConversion"/>
  </si>
  <si>
    <t>외화송금 신청내용</t>
    <phoneticPr fontId="4" type="noConversion"/>
  </si>
  <si>
    <t>보
내
시
는
분</t>
    <phoneticPr fontId="4" type="noConversion"/>
  </si>
  <si>
    <t>주소 (Address)</t>
    <phoneticPr fontId="4" type="noConversion"/>
  </si>
  <si>
    <t>생년월일 / 사업자번호 / 여권번호
 (Date of Birth / B.I.N / Passport No.)</t>
    <phoneticPr fontId="4" type="noConversion"/>
  </si>
  <si>
    <t>신
청
내
용</t>
    <phoneticPr fontId="4" type="noConversion"/>
  </si>
  <si>
    <r>
      <t xml:space="preserve">성명(업체명) 
</t>
    </r>
    <r>
      <rPr>
        <sz val="8"/>
        <color rgb="FF000000"/>
        <rFont val="맑은 고딕"/>
        <family val="3"/>
        <charset val="129"/>
        <scheme val="minor"/>
      </rPr>
      <t>(Applicant)</t>
    </r>
    <phoneticPr fontId="4" type="noConversion"/>
  </si>
  <si>
    <r>
      <t>한글</t>
    </r>
    <r>
      <rPr>
        <sz val="8"/>
        <color rgb="FF000000"/>
        <rFont val="맑은 고딕"/>
        <family val="3"/>
        <charset val="129"/>
        <scheme val="minor"/>
      </rPr>
      <t>(Korean)</t>
    </r>
    <phoneticPr fontId="4" type="noConversion"/>
  </si>
  <si>
    <r>
      <t>영문</t>
    </r>
    <r>
      <rPr>
        <sz val="8"/>
        <color rgb="FF000000"/>
        <rFont val="맑은 고딕"/>
        <family val="3"/>
        <charset val="129"/>
        <scheme val="minor"/>
      </rPr>
      <t>(English)</t>
    </r>
    <phoneticPr fontId="4" type="noConversion"/>
  </si>
  <si>
    <t xml:space="preserve">                                                                                                                           TEL No.</t>
    <phoneticPr fontId="4" type="noConversion"/>
  </si>
  <si>
    <r>
      <t xml:space="preserve">송금방법
</t>
    </r>
    <r>
      <rPr>
        <sz val="8"/>
        <color rgb="FF000000"/>
        <rFont val="맑은 고딕"/>
        <family val="3"/>
        <charset val="129"/>
        <scheme val="minor"/>
      </rPr>
      <t>(Remittance Type)</t>
    </r>
    <phoneticPr fontId="4" type="noConversion"/>
  </si>
  <si>
    <r>
      <t>송금액</t>
    </r>
    <r>
      <rPr>
        <sz val="8"/>
        <color rgb="FF000000"/>
        <rFont val="맑은 고딕"/>
        <family val="3"/>
        <charset val="129"/>
        <scheme val="minor"/>
      </rPr>
      <t xml:space="preserve"> (Amount)</t>
    </r>
    <phoneticPr fontId="4" type="noConversion"/>
  </si>
  <si>
    <r>
      <t xml:space="preserve">지급사유
</t>
    </r>
    <r>
      <rPr>
        <sz val="8"/>
        <color rgb="FF000000"/>
        <rFont val="맑은 고딕"/>
        <family val="3"/>
        <charset val="129"/>
        <scheme val="minor"/>
      </rPr>
      <t>(Purpose of Remittance)</t>
    </r>
    <phoneticPr fontId="4" type="noConversion"/>
  </si>
  <si>
    <r>
      <t xml:space="preserve"> 중계은행수수료 부담</t>
    </r>
    <r>
      <rPr>
        <sz val="8"/>
        <color rgb="FF000000"/>
        <rFont val="맑은 고딕"/>
        <family val="3"/>
        <charset val="129"/>
        <scheme val="minor"/>
      </rPr>
      <t>(Charges)</t>
    </r>
    <phoneticPr fontId="4" type="noConversion"/>
  </si>
  <si>
    <t>국내송금      실시간송금        KEB송금</t>
    <phoneticPr fontId="4" type="noConversion"/>
  </si>
  <si>
    <t>받
으
시
는
분</t>
    <phoneticPr fontId="4" type="noConversion"/>
  </si>
  <si>
    <r>
      <t xml:space="preserve">성명(업체명) 
</t>
    </r>
    <r>
      <rPr>
        <sz val="8"/>
        <color rgb="FF000000"/>
        <rFont val="맑은 고딕"/>
        <family val="3"/>
        <charset val="129"/>
        <scheme val="minor"/>
      </rPr>
      <t>(Beneficiary)</t>
    </r>
    <phoneticPr fontId="4" type="noConversion"/>
  </si>
  <si>
    <t xml:space="preserve">  </t>
    <phoneticPr fontId="4" type="noConversion"/>
  </si>
  <si>
    <r>
      <t>주소 및 연락처</t>
    </r>
    <r>
      <rPr>
        <sz val="8"/>
        <color rgb="FF000000"/>
        <rFont val="맑은 고딕"/>
        <family val="3"/>
        <charset val="129"/>
        <scheme val="minor"/>
      </rPr>
      <t xml:space="preserve">
(Beneficiary’s Add)</t>
    </r>
    <phoneticPr fontId="4" type="noConversion"/>
  </si>
  <si>
    <t>수취국가(Country)</t>
    <phoneticPr fontId="4" type="noConversion"/>
  </si>
  <si>
    <t>받으시는 분의 E-mail 기재 시 제공되며, 농협은행은 보안, 전송, 누설 등에 대한 책임을 지지 않습니다</t>
    <phoneticPr fontId="4" type="noConversion"/>
  </si>
  <si>
    <r>
      <t xml:space="preserve">수취은행 정보
</t>
    </r>
    <r>
      <rPr>
        <sz val="8"/>
        <color rgb="FF000000"/>
        <rFont val="맑은 고딕"/>
        <family val="3"/>
        <charset val="129"/>
        <scheme val="minor"/>
      </rPr>
      <t>(Beneficiary's Bank)</t>
    </r>
    <phoneticPr fontId="4" type="noConversion"/>
  </si>
  <si>
    <r>
      <t xml:space="preserve"> 지점명 및 주소
</t>
    </r>
    <r>
      <rPr>
        <sz val="8"/>
        <color rgb="FF000000"/>
        <rFont val="맑은 고딕"/>
        <family val="3"/>
        <charset val="129"/>
        <scheme val="minor"/>
      </rPr>
      <t xml:space="preserve"> (Branch name, Address)</t>
    </r>
    <phoneticPr fontId="4" type="noConversion"/>
  </si>
  <si>
    <t>국가별 필수코드</t>
    <phoneticPr fontId="4" type="noConversion"/>
  </si>
  <si>
    <t>(ABA NO. / Sort Code 등)</t>
    <phoneticPr fontId="4" type="noConversion"/>
  </si>
  <si>
    <t>E-mail</t>
    <phoneticPr fontId="4" type="noConversion"/>
  </si>
  <si>
    <t>TEL No.</t>
    <phoneticPr fontId="4" type="noConversion"/>
  </si>
  <si>
    <t>추가 기재사항(해당하는 경우만 기재)</t>
    <phoneticPr fontId="4" type="noConversion"/>
  </si>
  <si>
    <t>기
타
사
항</t>
    <phoneticPr fontId="4" type="noConversion"/>
  </si>
  <si>
    <r>
      <t>중계은행</t>
    </r>
    <r>
      <rPr>
        <sz val="8"/>
        <color rgb="FF000000"/>
        <rFont val="맑은 고딕"/>
        <family val="3"/>
        <charset val="129"/>
        <scheme val="minor"/>
      </rPr>
      <t xml:space="preserve"> 
(Intermediary Bank)</t>
    </r>
    <phoneticPr fontId="4" type="noConversion"/>
  </si>
  <si>
    <t>거래외국환은행 
지정항목</t>
    <phoneticPr fontId="4" type="noConversion"/>
  </si>
  <si>
    <t>신고(수리)번호</t>
    <phoneticPr fontId="4" type="noConversion"/>
  </si>
  <si>
    <t>직접 지정하고자 하는 경우에만 작성</t>
    <phoneticPr fontId="4" type="noConversion"/>
  </si>
  <si>
    <t>필수 추가정보 기재 (학생정보, 송금목적코드 등)</t>
    <phoneticPr fontId="4" type="noConversion"/>
  </si>
  <si>
    <t>※ 본 신청서는 외국환통계자료로 활용하며 과세자료로 국세청에 통보될 수 있습니다.</t>
    <phoneticPr fontId="4" type="noConversion"/>
  </si>
  <si>
    <t>※ 본 신청서는 대외지급수단의 휴대반출에 따른 근거서류로 활용할 수 없습니다.</t>
    <phoneticPr fontId="4" type="noConversion"/>
  </si>
  <si>
    <r>
      <rPr>
        <sz val="9"/>
        <color rgb="FF000000"/>
        <rFont val="Segoe UI Symbol"/>
        <family val="2"/>
      </rPr>
      <t>☑</t>
    </r>
    <r>
      <rPr>
        <sz val="9"/>
        <color rgb="FF000000"/>
        <rFont val="맑은 고딕"/>
        <family val="3"/>
        <charset val="129"/>
        <scheme val="minor"/>
      </rPr>
      <t xml:space="preserve"> 본인은</t>
    </r>
    <r>
      <rPr>
        <sz val="9"/>
        <color rgb="FF000000"/>
        <rFont val="Calibri"/>
        <family val="3"/>
      </rPr>
      <t xml:space="preserve"> </t>
    </r>
    <r>
      <rPr>
        <sz val="9"/>
        <color rgb="FF000000"/>
        <rFont val="맑은 고딕"/>
        <family val="3"/>
        <charset val="129"/>
        <scheme val="minor"/>
      </rPr>
      <t>귀행</t>
    </r>
    <r>
      <rPr>
        <sz val="9"/>
        <color rgb="FF000000"/>
        <rFont val="Calibri"/>
        <family val="3"/>
      </rPr>
      <t xml:space="preserve"> </t>
    </r>
    <r>
      <rPr>
        <sz val="9"/>
        <color rgb="FF000000"/>
        <rFont val="맑은 고딕"/>
        <family val="3"/>
        <charset val="129"/>
        <scheme val="minor"/>
      </rPr>
      <t>영업점에</t>
    </r>
    <r>
      <rPr>
        <sz val="9"/>
        <color rgb="FF000000"/>
        <rFont val="Calibri"/>
        <family val="3"/>
      </rPr>
      <t xml:space="preserve"> </t>
    </r>
    <r>
      <rPr>
        <sz val="9"/>
        <color rgb="FF000000"/>
        <rFont val="맑은 고딕"/>
        <family val="3"/>
        <charset val="129"/>
        <scheme val="minor"/>
      </rPr>
      <t>비치된</t>
    </r>
    <r>
      <rPr>
        <sz val="9"/>
        <color rgb="FF000000"/>
        <rFont val="Calibri"/>
        <family val="3"/>
      </rPr>
      <t xml:space="preserve"> </t>
    </r>
    <r>
      <rPr>
        <sz val="9"/>
        <color rgb="FF000000"/>
        <rFont val="맑은 고딕"/>
        <family val="3"/>
        <charset val="129"/>
        <scheme val="minor"/>
      </rPr>
      <t>외환거래</t>
    </r>
    <r>
      <rPr>
        <sz val="9"/>
        <color rgb="FF000000"/>
        <rFont val="Calibri"/>
        <family val="3"/>
      </rPr>
      <t xml:space="preserve"> </t>
    </r>
    <r>
      <rPr>
        <sz val="9"/>
        <color rgb="FF000000"/>
        <rFont val="맑은 고딕"/>
        <family val="3"/>
        <charset val="129"/>
        <scheme val="minor"/>
      </rPr>
      <t>기본약관을</t>
    </r>
    <r>
      <rPr>
        <sz val="9"/>
        <color rgb="FF000000"/>
        <rFont val="Calibri"/>
        <family val="3"/>
      </rPr>
      <t xml:space="preserve"> </t>
    </r>
    <r>
      <rPr>
        <sz val="9"/>
        <color rgb="FF000000"/>
        <rFont val="맑은 고딕"/>
        <family val="3"/>
        <charset val="129"/>
        <scheme val="minor"/>
      </rPr>
      <t>열람하고</t>
    </r>
    <r>
      <rPr>
        <sz val="9"/>
        <color rgb="FF000000"/>
        <rFont val="Calibri"/>
        <family val="3"/>
      </rPr>
      <t xml:space="preserve"> </t>
    </r>
    <r>
      <rPr>
        <sz val="9"/>
        <color rgb="FF000000"/>
        <rFont val="맑은 고딕"/>
        <family val="3"/>
        <charset val="129"/>
        <scheme val="minor"/>
      </rPr>
      <t>그</t>
    </r>
    <r>
      <rPr>
        <sz val="9"/>
        <color rgb="FF000000"/>
        <rFont val="Calibri"/>
        <family val="3"/>
      </rPr>
      <t xml:space="preserve"> </t>
    </r>
    <r>
      <rPr>
        <sz val="9"/>
        <color rgb="FF000000"/>
        <rFont val="맑은 고딕"/>
        <family val="3"/>
        <charset val="129"/>
        <scheme val="minor"/>
      </rPr>
      <t>내용에</t>
    </r>
    <r>
      <rPr>
        <sz val="9"/>
        <color rgb="FF000000"/>
        <rFont val="Calibri"/>
        <family val="3"/>
      </rPr>
      <t xml:space="preserve"> </t>
    </r>
    <r>
      <rPr>
        <sz val="9"/>
        <color rgb="FF000000"/>
        <rFont val="맑은 고딕"/>
        <family val="3"/>
        <charset val="129"/>
        <scheme val="minor"/>
      </rPr>
      <t>따를</t>
    </r>
    <r>
      <rPr>
        <sz val="9"/>
        <color rgb="FF000000"/>
        <rFont val="Calibri"/>
        <family val="3"/>
      </rPr>
      <t xml:space="preserve"> </t>
    </r>
    <r>
      <rPr>
        <sz val="9"/>
        <color rgb="FF000000"/>
        <rFont val="맑은 고딕"/>
        <family val="3"/>
        <charset val="129"/>
        <scheme val="minor"/>
      </rPr>
      <t>것을</t>
    </r>
    <r>
      <rPr>
        <sz val="9"/>
        <color rgb="FF000000"/>
        <rFont val="Calibri"/>
        <family val="3"/>
      </rPr>
      <t xml:space="preserve"> </t>
    </r>
    <r>
      <rPr>
        <sz val="9"/>
        <color rgb="FF000000"/>
        <rFont val="맑은 고딕"/>
        <family val="3"/>
        <charset val="129"/>
        <scheme val="minor"/>
      </rPr>
      <t>확약하며</t>
    </r>
    <r>
      <rPr>
        <sz val="9"/>
        <color rgb="FF000000"/>
        <rFont val="Calibri"/>
        <family val="3"/>
      </rPr>
      <t xml:space="preserve"> </t>
    </r>
    <r>
      <rPr>
        <sz val="9"/>
        <color rgb="FF000000"/>
        <rFont val="맑은 고딕"/>
        <family val="3"/>
        <charset val="129"/>
        <scheme val="minor"/>
      </rPr>
      <t>위와</t>
    </r>
    <r>
      <rPr>
        <sz val="9"/>
        <color rgb="FF000000"/>
        <rFont val="Calibri"/>
        <family val="3"/>
      </rPr>
      <t xml:space="preserve"> </t>
    </r>
    <r>
      <rPr>
        <sz val="9"/>
        <color rgb="FF000000"/>
        <rFont val="맑은 고딕"/>
        <family val="3"/>
        <charset val="129"/>
        <scheme val="minor"/>
      </rPr>
      <t>같이</t>
    </r>
    <r>
      <rPr>
        <sz val="9"/>
        <color rgb="FF000000"/>
        <rFont val="Calibri"/>
        <family val="3"/>
      </rPr>
      <t xml:space="preserve"> </t>
    </r>
    <r>
      <rPr>
        <sz val="9"/>
        <color rgb="FF000000"/>
        <rFont val="맑은 고딕"/>
        <family val="3"/>
        <charset val="129"/>
        <scheme val="minor"/>
      </rPr>
      <t>지급</t>
    </r>
    <r>
      <rPr>
        <sz val="9"/>
        <color rgb="FF000000"/>
        <rFont val="Calibri"/>
        <family val="3"/>
      </rPr>
      <t xml:space="preserve"> </t>
    </r>
    <r>
      <rPr>
        <sz val="9"/>
        <color rgb="FF000000"/>
        <rFont val="맑은 고딕"/>
        <family val="3"/>
        <charset val="129"/>
        <scheme val="minor"/>
      </rPr>
      <t>신청합니다</t>
    </r>
    <r>
      <rPr>
        <sz val="9"/>
        <color rgb="FF000000"/>
        <rFont val="Calibri"/>
        <family val="3"/>
      </rPr>
      <t>.</t>
    </r>
    <phoneticPr fontId="4" type="noConversion"/>
  </si>
  <si>
    <r>
      <rPr>
        <sz val="9"/>
        <color rgb="FF000000"/>
        <rFont val="Segoe UI Symbol"/>
        <family val="2"/>
      </rPr>
      <t>☑</t>
    </r>
    <r>
      <rPr>
        <sz val="9"/>
        <color rgb="FF000000"/>
        <rFont val="맑은 고딕"/>
        <family val="3"/>
        <charset val="129"/>
        <scheme val="minor"/>
      </rPr>
      <t xml:space="preserve"> 당해</t>
    </r>
    <r>
      <rPr>
        <sz val="9"/>
        <color rgb="FF000000"/>
        <rFont val="Calibri"/>
        <family val="3"/>
      </rPr>
      <t xml:space="preserve"> </t>
    </r>
    <r>
      <rPr>
        <sz val="9"/>
        <color rgb="FF000000"/>
        <rFont val="맑은 고딕"/>
        <family val="3"/>
        <charset val="129"/>
        <scheme val="minor"/>
      </rPr>
      <t>송금과</t>
    </r>
    <r>
      <rPr>
        <sz val="9"/>
        <color rgb="FF000000"/>
        <rFont val="Calibri"/>
        <family val="3"/>
      </rPr>
      <t xml:space="preserve"> </t>
    </r>
    <r>
      <rPr>
        <sz val="9"/>
        <color rgb="FF000000"/>
        <rFont val="맑은 고딕"/>
        <family val="3"/>
        <charset val="129"/>
        <scheme val="minor"/>
      </rPr>
      <t>관련하여</t>
    </r>
    <r>
      <rPr>
        <sz val="9"/>
        <color rgb="FF000000"/>
        <rFont val="Calibri"/>
        <family val="3"/>
      </rPr>
      <t xml:space="preserve"> </t>
    </r>
    <r>
      <rPr>
        <sz val="9"/>
        <color rgb="FF000000"/>
        <rFont val="맑은 고딕"/>
        <family val="3"/>
        <charset val="129"/>
        <scheme val="minor"/>
      </rPr>
      <t>해외은행</t>
    </r>
    <r>
      <rPr>
        <sz val="9"/>
        <color rgb="FF000000"/>
        <rFont val="Calibri"/>
        <family val="3"/>
      </rPr>
      <t xml:space="preserve"> </t>
    </r>
    <r>
      <rPr>
        <sz val="9"/>
        <color rgb="FF000000"/>
        <rFont val="맑은 고딕"/>
        <family val="3"/>
        <charset val="129"/>
        <scheme val="minor"/>
      </rPr>
      <t>앞으로</t>
    </r>
    <r>
      <rPr>
        <sz val="9"/>
        <color rgb="FF000000"/>
        <rFont val="Calibri"/>
        <family val="3"/>
      </rPr>
      <t xml:space="preserve"> </t>
    </r>
    <r>
      <rPr>
        <sz val="9"/>
        <color rgb="FF000000"/>
        <rFont val="맑은 고딕"/>
        <family val="3"/>
        <charset val="129"/>
        <scheme val="minor"/>
      </rPr>
      <t>위에</t>
    </r>
    <r>
      <rPr>
        <sz val="9"/>
        <color rgb="FF000000"/>
        <rFont val="Calibri"/>
        <family val="3"/>
      </rPr>
      <t xml:space="preserve"> </t>
    </r>
    <r>
      <rPr>
        <sz val="9"/>
        <color rgb="FF000000"/>
        <rFont val="맑은 고딕"/>
        <family val="3"/>
        <charset val="129"/>
        <scheme val="minor"/>
      </rPr>
      <t>기재하신</t>
    </r>
    <r>
      <rPr>
        <sz val="9"/>
        <color rgb="FF000000"/>
        <rFont val="Calibri"/>
        <family val="3"/>
      </rPr>
      <t xml:space="preserve"> </t>
    </r>
    <r>
      <rPr>
        <sz val="9"/>
        <color rgb="FF000000"/>
        <rFont val="맑은 고딕"/>
        <family val="3"/>
        <charset val="129"/>
        <scheme val="minor"/>
      </rPr>
      <t>정보가</t>
    </r>
    <r>
      <rPr>
        <sz val="9"/>
        <color rgb="FF000000"/>
        <rFont val="Calibri"/>
        <family val="3"/>
      </rPr>
      <t xml:space="preserve"> </t>
    </r>
    <r>
      <rPr>
        <sz val="9"/>
        <color rgb="FF000000"/>
        <rFont val="맑은 고딕"/>
        <family val="3"/>
        <charset val="129"/>
        <scheme val="minor"/>
      </rPr>
      <t>제공됨에</t>
    </r>
    <r>
      <rPr>
        <sz val="9"/>
        <color rgb="FF000000"/>
        <rFont val="Calibri"/>
        <family val="3"/>
      </rPr>
      <t xml:space="preserve"> </t>
    </r>
    <r>
      <rPr>
        <sz val="9"/>
        <color rgb="FF000000"/>
        <rFont val="맑은 고딕"/>
        <family val="3"/>
        <charset val="129"/>
        <scheme val="minor"/>
      </rPr>
      <t>동의합니다</t>
    </r>
    <r>
      <rPr>
        <sz val="9"/>
        <color rgb="FF000000"/>
        <rFont val="Calibri"/>
        <family val="3"/>
      </rPr>
      <t>.</t>
    </r>
    <phoneticPr fontId="4" type="noConversion"/>
  </si>
  <si>
    <r>
      <rPr>
        <sz val="9"/>
        <color rgb="FF000000"/>
        <rFont val="Segoe UI Symbol"/>
        <family val="3"/>
      </rPr>
      <t>☑</t>
    </r>
    <r>
      <rPr>
        <sz val="9"/>
        <color rgb="FF000000"/>
        <rFont val="Calibri"/>
        <family val="3"/>
      </rPr>
      <t xml:space="preserve"> </t>
    </r>
    <r>
      <rPr>
        <sz val="9"/>
        <color rgb="FF000000"/>
        <rFont val="맑은 고딕"/>
        <family val="3"/>
        <charset val="129"/>
        <scheme val="minor"/>
      </rPr>
      <t>본 거래는 글로벌 경제제재(OFAC 등) 대상자/국가와 관련이 없으며, 경제제재 대상자/국가와 직·간접적으로 관련된 경우</t>
    </r>
    <phoneticPr fontId="4" type="noConversion"/>
  </si>
  <si>
    <t xml:space="preserve">   자금동결, 송금지연 및 반환될 수 있음을 확인합니다.</t>
    <phoneticPr fontId="4" type="noConversion"/>
  </si>
  <si>
    <t>수입대금 송금시 필수 기재사항</t>
    <phoneticPr fontId="4" type="noConversion"/>
  </si>
  <si>
    <t>대금결제방식</t>
    <phoneticPr fontId="4" type="noConversion"/>
  </si>
  <si>
    <r>
      <t xml:space="preserve">대응수입예정일
</t>
    </r>
    <r>
      <rPr>
        <sz val="8"/>
        <color theme="0" tint="-0.499984740745262"/>
        <rFont val="맑은 고딕"/>
        <family val="3"/>
        <charset val="129"/>
        <scheme val="minor"/>
      </rPr>
      <t>물품(선적서류)수령 예정일</t>
    </r>
    <phoneticPr fontId="4" type="noConversion"/>
  </si>
  <si>
    <t>무역거래 형태</t>
    <phoneticPr fontId="4" type="noConversion"/>
  </si>
  <si>
    <t>수입물품을 국내에서 인수하는 경우</t>
    <phoneticPr fontId="4" type="noConversion"/>
  </si>
  <si>
    <t>수입물품을 국내반입 없이 
해외에서 인수하는 경우</t>
    <phoneticPr fontId="4" type="noConversion"/>
  </si>
  <si>
    <t>수입물품을 국내반입 없이 
제3국으로 수출하는 경우</t>
    <phoneticPr fontId="4" type="noConversion"/>
  </si>
  <si>
    <r>
      <t xml:space="preserve">1년 초과  </t>
    </r>
    <r>
      <rPr>
        <b/>
        <sz val="6"/>
        <color theme="0" tint="-0.499984740745262"/>
        <rFont val="맑은 고딕"/>
        <family val="3"/>
        <charset val="129"/>
        <scheme val="minor"/>
      </rPr>
      <t>※ 한국은행 신고 사항</t>
    </r>
    <phoneticPr fontId="4" type="noConversion"/>
  </si>
  <si>
    <t>1년 이내</t>
    <phoneticPr fontId="4" type="noConversion"/>
  </si>
  <si>
    <r>
      <t>수령완료</t>
    </r>
    <r>
      <rPr>
        <b/>
        <sz val="6"/>
        <color theme="0" tint="-0.499984740745262"/>
        <rFont val="맑은 고딕"/>
        <family val="3"/>
        <charset val="129"/>
        <scheme val="minor"/>
      </rPr>
      <t xml:space="preserve"> (사후 송금방식)</t>
    </r>
    <phoneticPr fontId="4" type="noConversion"/>
  </si>
  <si>
    <r>
      <t xml:space="preserve">      수취인</t>
    </r>
    <r>
      <rPr>
        <sz val="7"/>
        <color rgb="FF000000"/>
        <rFont val="맑은 고딕"/>
        <family val="3"/>
        <charset val="129"/>
        <scheme val="minor"/>
      </rPr>
      <t xml:space="preserve">(Beneficiary)     </t>
    </r>
    <r>
      <rPr>
        <sz val="8"/>
        <color rgb="FF000000"/>
        <rFont val="맑은 고딕"/>
        <family val="3"/>
        <charset val="129"/>
        <scheme val="minor"/>
      </rPr>
      <t xml:space="preserve">   신청인</t>
    </r>
    <r>
      <rPr>
        <sz val="7"/>
        <color rgb="FF000000"/>
        <rFont val="맑은 고딕"/>
        <family val="3"/>
        <charset val="129"/>
        <scheme val="minor"/>
      </rPr>
      <t>(Applicant)</t>
    </r>
    <r>
      <rPr>
        <sz val="8"/>
        <color rgb="FF000000"/>
        <rFont val="맑은 고딕"/>
        <family val="3"/>
        <charset val="129"/>
        <scheme val="minor"/>
      </rPr>
      <t xml:space="preserve"> </t>
    </r>
    <phoneticPr fontId="4" type="noConversion"/>
  </si>
  <si>
    <r>
      <t xml:space="preserve"> 해외송금       </t>
    </r>
    <r>
      <rPr>
        <sz val="8"/>
        <color rgb="FF000000"/>
        <rFont val="맑은 고딕"/>
        <family val="3"/>
        <charset val="129"/>
        <scheme val="minor"/>
      </rPr>
      <t xml:space="preserve">전신송금(T/T)         송금수표(D/D)          기타(                    )             </t>
    </r>
    <phoneticPr fontId="4" type="noConversion"/>
  </si>
  <si>
    <t>현재 수출계약 체결</t>
    <phoneticPr fontId="4" type="noConversion"/>
  </si>
  <si>
    <t xml:space="preserve">   현재 수출계약 미체결</t>
    <phoneticPr fontId="4" type="noConversion"/>
  </si>
  <si>
    <t>중계무역</t>
    <phoneticPr fontId="4" type="noConversion"/>
  </si>
  <si>
    <t>□ 본인은 귀행을 거래외국환은행으로 지정(변경)하고자 합니다.</t>
    <phoneticPr fontId="4" type="noConversion"/>
  </si>
  <si>
    <t>□ 본인은 수수료 결제시 NH포인트 사용을 신청합니다.(중계은행 수수료 및 전신료 적용불가)</t>
    <phoneticPr fontId="4" type="noConversion"/>
  </si>
  <si>
    <r>
      <rPr>
        <b/>
        <u/>
        <sz val="9"/>
        <color theme="1"/>
        <rFont val="맑은 고딕"/>
        <family val="3"/>
        <charset val="129"/>
        <scheme val="minor"/>
      </rPr>
      <t>사전송금방식</t>
    </r>
    <r>
      <rPr>
        <sz val="9"/>
        <color theme="1"/>
        <rFont val="맑은 고딕"/>
        <family val="3"/>
        <charset val="129"/>
        <scheme val="minor"/>
      </rPr>
      <t xml:space="preserve">으로 </t>
    </r>
    <r>
      <rPr>
        <b/>
        <u/>
        <sz val="9"/>
        <color theme="1"/>
        <rFont val="맑은 고딕"/>
        <family val="3"/>
        <charset val="129"/>
        <scheme val="minor"/>
      </rPr>
      <t>미화 2만불을 초과</t>
    </r>
    <r>
      <rPr>
        <sz val="9"/>
        <color theme="1"/>
        <rFont val="맑은 고딕"/>
        <family val="3"/>
        <charset val="129"/>
        <scheme val="minor"/>
      </rPr>
      <t xml:space="preserve">하는 수입대금을 지급한 경우, </t>
    </r>
    <r>
      <rPr>
        <b/>
        <u/>
        <sz val="9"/>
        <color theme="1"/>
        <rFont val="맑은 고딕"/>
        <family val="3"/>
        <charset val="129"/>
        <scheme val="minor"/>
      </rPr>
      <t>대응수입을 이행하거나 지급한 자금을 반환</t>
    </r>
    <r>
      <rPr>
        <sz val="9"/>
        <color theme="1"/>
        <rFont val="맑은 고딕"/>
        <family val="3"/>
        <charset val="129"/>
        <scheme val="minor"/>
      </rPr>
      <t xml:space="preserve">받아야 하며, 
대금 지급 후 </t>
    </r>
    <r>
      <rPr>
        <b/>
        <u/>
        <sz val="9"/>
        <color theme="1"/>
        <rFont val="맑은 고딕"/>
        <family val="3"/>
        <charset val="129"/>
        <scheme val="minor"/>
      </rPr>
      <t>1년을 초과하여 수입물품(선적서류)을 수령하는 경우</t>
    </r>
    <r>
      <rPr>
        <sz val="9"/>
        <color theme="1"/>
        <rFont val="맑은 고딕"/>
        <family val="3"/>
        <charset val="129"/>
        <scheme val="minor"/>
      </rPr>
      <t xml:space="preserve">에는 </t>
    </r>
    <r>
      <rPr>
        <b/>
        <u/>
        <sz val="9"/>
        <color theme="1"/>
        <rFont val="맑은 고딕"/>
        <family val="3"/>
        <charset val="129"/>
        <scheme val="minor"/>
      </rPr>
      <t>한국은행</t>
    </r>
    <r>
      <rPr>
        <sz val="9"/>
        <color theme="1"/>
        <rFont val="맑은 고딕"/>
        <family val="3"/>
        <charset val="129"/>
        <scheme val="minor"/>
      </rPr>
      <t xml:space="preserve">에 신고하여야 합니다. </t>
    </r>
    <phoneticPr fontId="4" type="noConversion"/>
  </si>
  <si>
    <t xml:space="preserve">확인
</t>
    <phoneticPr fontId="4" type="noConversion"/>
  </si>
  <si>
    <t>신청인(Applicant)</t>
    <phoneticPr fontId="4" type="noConversion"/>
  </si>
  <si>
    <t xml:space="preserve">                                       (인 또는 서명)</t>
    <phoneticPr fontId="4" type="noConversion"/>
  </si>
  <si>
    <t xml:space="preserve"> 본인은 기재사실 또는 제출서류 등에 허위사실이나 
 업무처리와 관련한 위법사항이 발견될 경우, 법적 책임을
 지게 될 수 있음을 인지하였습니다.</t>
    <phoneticPr fontId="4" type="noConversion"/>
  </si>
  <si>
    <t xml:space="preserve">       01(거주자 지급증빙 미제출)                  02(해외유학생(체재자) 경비)              08(외국인 급여 등) </t>
    <phoneticPr fontId="4" type="noConversion"/>
  </si>
  <si>
    <t xml:space="preserve">       63(재외동포 국내재산반출)                   75(해외이주비)                              기타 지정항목(                        )</t>
    <phoneticPr fontId="4" type="noConversion"/>
  </si>
  <si>
    <r>
      <t xml:space="preserve">사후 송금방식 (수입신고필증이 있음)
</t>
    </r>
    <r>
      <rPr>
        <b/>
        <sz val="6"/>
        <color theme="0" tint="-0.499984740745262"/>
        <rFont val="맑은 고딕"/>
        <family val="3"/>
        <charset val="129"/>
        <scheme val="minor"/>
      </rPr>
      <t>국내 통관(물품 인수) 후 수입 대금 지급</t>
    </r>
    <phoneticPr fontId="4" type="noConversion"/>
  </si>
  <si>
    <r>
      <t xml:space="preserve">사전 송금방식 (수입신고필증이 없음)
</t>
    </r>
    <r>
      <rPr>
        <b/>
        <sz val="6"/>
        <color theme="0" tint="-0.499984740745262"/>
        <rFont val="맑은 고딕"/>
        <family val="3"/>
        <charset val="129"/>
        <scheme val="minor"/>
      </rPr>
      <t>국내 통관(물품 인수) 전 수입 대금 지급</t>
    </r>
    <phoneticPr fontId="4" type="noConversion"/>
  </si>
  <si>
    <t>일반 수입</t>
    <phoneticPr fontId="4" type="noConversion"/>
  </si>
  <si>
    <t>외국 인수수입</t>
    <phoneticPr fontId="4" type="noConversion"/>
  </si>
  <si>
    <t xml:space="preserve">                                   (인)</t>
    <phoneticPr fontId="4" type="noConversion"/>
  </si>
  <si>
    <t>① 다음 각 호의 어느 하나에 해당하는 자(이하 이 조, 제53조 및 제53조의 2에서 “국외사업자”라 한다)로부터 국내에서 용역 또는 권리(이하 이 조 및 제53조에서 “용역등”이라 한다)를 공급(국내에 반입하는 것으로서 제50조에 따라 관세와 함께 부가가치세를 신고ㆍ납부하여야 하는 재화의 수입에 해당하지 아니하는 경우를 포함한다. 이하 이 조 및 제53조에서 같다)받는 자(공급받은 그 용역등을 과세사업에 제공하는 경우는 제외하되, 제39조에 따라 매입세액이 공제되지 아니하는 용역등을 공급받는 경우는 포함한다)는 그 대가를 지급하는 때에 그 대가를 받은 자로부터 부가가치세를 징수하여야 한다. (2020. 12. 22. 개정)
1. 「소득세법」 제120조 또는 「법인세법」 제94조에 따른 국내사업장(이하 이 조에서 “국내사업장”이라 한다)이 없는 비거주자 또는 외국법인 (2013. 6. 7. 개정)
2. 국내사업장이 있는 비거주자 또는 외국법인(비거주자 또는 외국법인의 국내사업장과 관련 없이 용역등을 공급하는 경우로서 대통령령으로 정하는 경우만 해당한다) (2013. 6. 7. 개정)
② 제1항에 따라 부가가치세를 징수한 자는 대통령령으로 정하는 바에 따라 부가가치세 대리납부신고서를 제출하고, 제48조 제2항 및 제49조 제2항을 준용하여 부가가치세를 납부하여야 한다. (2013. 6. 7. 개정)
③ 제1항과 제2항을 적용할 때 공급받은 용역등을 과세사업과 면세사업등에 공통으로 사용하여 그 실지귀속을 구분할 수 없는 경우의 안분계산방법 등에 관하여 필요한 사항은 대통령령으로 정한다. (2013. 6. 7. 개정)
④ 제10조 제9항 제2호 본문에 따른 사업의 양도(이에 해당하는지 여부가 분명하지 아니한 경우를 포함한다)에 따라 그 사업을 양수받는 자는 그 대가를 지급하는 때에 같은 호 본문 및 제31조에도 불구하고 그 대가를 받은 자로부터 부가가치세를 징수하여 그 대가를 지급하는 날이 속하는 달의 다음 달 25일까지 제49조 제2항을 준용하여 대통령령으로 정하는 바에 따라 사업장 관할 세무서장에게 납부할 수 있다. (2018. 12. 31. 개정)</t>
    <phoneticPr fontId="4" type="noConversion"/>
  </si>
  <si>
    <r>
      <rPr>
        <sz val="11"/>
        <color theme="1"/>
        <rFont val="맑은 고딕"/>
        <family val="3"/>
        <charset val="129"/>
      </rPr>
      <t>■</t>
    </r>
    <r>
      <rPr>
        <sz val="9.9"/>
        <color theme="1"/>
        <rFont val="맑은 고딕"/>
        <family val="3"/>
        <charset val="129"/>
      </rPr>
      <t xml:space="preserve"> </t>
    </r>
    <r>
      <rPr>
        <sz val="11"/>
        <color theme="1"/>
        <rFont val="맑은 고딕"/>
        <family val="2"/>
        <charset val="129"/>
        <scheme val="minor"/>
      </rPr>
      <t>부가가치세 집행기준 52-95-1 대리납부</t>
    </r>
    <phoneticPr fontId="4" type="noConversion"/>
  </si>
  <si>
    <t>대리납부란 국내에 사업장이 없는 비거주자 또는 외국법인과 국내사업장이 있는 비거주자 또는 외국법인으로부터 용역 또는 권리(이하 “용역 등”이라 한다)(국내사업장과 관련 없는 용역을 제공하는 경우에 한함)을 공급받는 경우 해당 용역 등을 공급받은 자가 그 대가를 지급하는 시점에 국외의 공급자를 대리하여 부가가치세를 징수납부하는 것을 말한다.</t>
    <phoneticPr fontId="4" type="noConversion"/>
  </si>
  <si>
    <r>
      <rPr>
        <sz val="11"/>
        <color theme="1"/>
        <rFont val="맑은 고딕"/>
        <family val="3"/>
        <charset val="129"/>
      </rPr>
      <t>■</t>
    </r>
    <r>
      <rPr>
        <sz val="9.9"/>
        <color theme="1"/>
        <rFont val="맑은 고딕"/>
        <family val="3"/>
        <charset val="129"/>
      </rPr>
      <t xml:space="preserve"> </t>
    </r>
    <r>
      <rPr>
        <sz val="11"/>
        <color theme="1"/>
        <rFont val="맑은 고딕"/>
        <family val="2"/>
        <charset val="129"/>
        <scheme val="minor"/>
      </rPr>
      <t>부가가치세 집행기준 52-95-2 대리납부할 세액의 징수시기</t>
    </r>
    <phoneticPr fontId="4" type="noConversion"/>
  </si>
  <si>
    <t>① 대리납부 할 부가가치세액은 제공받는 용역 등의 공급시기에 관계없이 그 대가를 지급하는 때에 징수한다. 
② 대리납부대상 용역 등을 공급받기 전에 그 대가의 일부를 수회에 걸쳐 지급하는 경우에는 그 지급을 하는 때마다 대리납부세액을 징수한다.</t>
    <phoneticPr fontId="4" type="noConversion"/>
  </si>
  <si>
    <r>
      <rPr>
        <sz val="11"/>
        <color theme="1"/>
        <rFont val="맑은 고딕"/>
        <family val="3"/>
        <charset val="129"/>
      </rPr>
      <t>■</t>
    </r>
    <r>
      <rPr>
        <sz val="9.9"/>
        <color theme="1"/>
        <rFont val="맑은 고딕"/>
        <family val="3"/>
        <charset val="129"/>
      </rPr>
      <t xml:space="preserve"> </t>
    </r>
    <r>
      <rPr>
        <sz val="11"/>
        <color theme="1"/>
        <rFont val="맑은 고딕"/>
        <family val="2"/>
        <charset val="129"/>
        <scheme val="minor"/>
      </rPr>
      <t>부가가치세 집행기준 52-95-3 대리납부 적용 요건</t>
    </r>
    <phoneticPr fontId="4" type="noConversion"/>
  </si>
  <si>
    <t>① 용역 등의 제공자가 국내사업장이 없는 비거주자 또는 외국법인이거나, 국내사업장이 있더라도 국내사업장과 관련 없는 용역 등을 공급하는 비거주자 또는 외국법인이어야 한다. 
② 해당 용역 등이 부가가치세가 과세되는 것이어야 한다. 
③ 해당 용역 등이 국내에서 사용 또는 소비되어야 한다. 
④ 제공받은 용역 등이 부가가치세가 과세되지 아니하는 사업에 사용 또는 소비되어야 한다.
(부가법 제39조에 따라 매입세액이 공제되지 아니하는 용역 등을 공급받는 경우 포함)</t>
    <phoneticPr fontId="4" type="noConversion"/>
  </si>
  <si>
    <r>
      <rPr>
        <sz val="11"/>
        <color theme="1"/>
        <rFont val="맑은 고딕"/>
        <family val="3"/>
        <charset val="129"/>
      </rPr>
      <t>■</t>
    </r>
    <r>
      <rPr>
        <sz val="9.9"/>
        <color theme="1"/>
        <rFont val="맑은 고딕"/>
        <family val="3"/>
        <charset val="129"/>
      </rPr>
      <t xml:space="preserve"> </t>
    </r>
    <r>
      <rPr>
        <sz val="11"/>
        <color theme="1"/>
        <rFont val="맑은 고딕"/>
        <family val="2"/>
        <charset val="129"/>
        <scheme val="minor"/>
      </rPr>
      <t>부가가치세 집행기준 52-95-4 대리납부 대상</t>
    </r>
    <phoneticPr fontId="4" type="noConversion"/>
  </si>
  <si>
    <r>
      <rPr>
        <sz val="11"/>
        <color theme="1"/>
        <rFont val="맑은 고딕"/>
        <family val="3"/>
        <charset val="129"/>
      </rPr>
      <t>■</t>
    </r>
    <r>
      <rPr>
        <sz val="9.9"/>
        <color theme="1"/>
        <rFont val="맑은 고딕"/>
        <family val="3"/>
        <charset val="129"/>
      </rPr>
      <t xml:space="preserve"> </t>
    </r>
    <r>
      <rPr>
        <sz val="11"/>
        <color theme="1"/>
        <rFont val="맑은 고딕"/>
        <family val="2"/>
        <charset val="129"/>
        <scheme val="minor"/>
      </rPr>
      <t>부가가치세 집행기준 52-95-5 대리납부 대상 용역대가의 계산 방법</t>
    </r>
    <phoneticPr fontId="4" type="noConversion"/>
  </si>
  <si>
    <t>① 비거주자 또는 외국법인의 재화·시설물 또는 권리를 우리나라에서 사용하고 그 대가를 지급하는 자는 공급받은 해당 용역을 과세사업에 사용하는 경우를 제외하고는 대리납부를 하여야 하나, 부가가치세가 면제되는 용역을 제공받은 경우에는 대리납부의무가 없다. 
② 재화·시설물 또는 권리란 부동산, 부동산상의 권리, 광업권, 조광권, 채석권, 선박, 항공기, 자동차, 건설기계, 기계, 설비, 장치, 운반구, 공구, 학술 또는 예술상의 저작물(영화필름을 포함)의 저작권, 특허권, 상표권, 의장, 모형, 도면, 비밀의 공식 또는 공정, 라디오·텔레비전·방송용 필름 및 테이프, 산업상·상업상 또는 과학상의 지식·경험 또는 숙련에 관한 정보, 우리나라 법에 따른 면허·허가 또는 이와 유사한 처분에 의하여 설정된 권리, 기타 이와 유사한 재화·시설물 또는 권리를 말한다</t>
    <phoneticPr fontId="4" type="noConversion"/>
  </si>
  <si>
    <t>① 대리납부의 대상이 되는 용역의 대가는 다음과 같이 계산한다.
 1. 거래당사자간에 부가가치세액의 징수 및 부담에 대하여 별도의 계약이 있는 경우에는 해당 계약에 의한다.
 2. 부가가치세액의 징수 및 부담에 대하여 별도의 계약이 없이 용역대가의 전액을 지급하는 때에는 해당 용역대가에 부가가치세가 제외되어 있는 것으로 하여 계산한다.
 3. 부가가치세액의 징수 및 부담에 대하여 별도의 계약이 없이 용역대가에서 부가가치세액을 공제하여 지급하는 때에는 해당 용역대가에 부가가치세가 포함되어 있는 것으로 하여 계산한다. 
② 용역의 대가를 외화로 지급하는 때에는 다음과 같이 계산한 금액을 그 대가로 한다.
 1. 원화를 외화로 매입하여 지급하는 경우에는 지급일 현재의 대고객외국환매도율에 의하여 계산한 금액
 2. 보유 중인 외화로 지급하는 경우에는 지급일 현재의 기준환율 또는 재정환율에 의하여 계산한 금액</t>
    <phoneticPr fontId="4" type="noConversion"/>
  </si>
  <si>
    <t>휴일: 해당사항 없음(근로기준법 제18조 제3항)</t>
    <phoneticPr fontId="4" type="noConversion"/>
  </si>
  <si>
    <t xml:space="preserve">  8. 연차휴가: 해당사항 없음(근로기준법 제18조 제3항)</t>
    <phoneticPr fontId="4" type="noConversion"/>
  </si>
  <si>
    <t>※ 월 총 지급액은 지도교수가 기 확보한 인건비 및 장학금을 기준으로 작성하되, 교내 타 연구책임자(상기 1-4)와
   교외 타 연구책임자 (상기 1)로부터 지급받는 인건비도 포함할 수 있음.
※ 매 학기 초 동의서 작성 후 해당 기간 내에 신규과제가 추가되는 경우, 동의서를 재작성하지 않고 월 총지급액에 인건비를
   추가하여 지급할 수 있음.</t>
    <phoneticPr fontId="4" type="noConversion"/>
  </si>
  <si>
    <t>연구개발기관</t>
    <phoneticPr fontId="4" type="noConversion"/>
  </si>
  <si>
    <t>연구책임자</t>
    <phoneticPr fontId="4" type="noConversion"/>
  </si>
  <si>
    <t>제3조(계약기간 및 근로 조건)</t>
    <phoneticPr fontId="4" type="noConversion"/>
  </si>
  <si>
    <r>
      <t>외화송금신청서 (APPLICATION FOR REMITTANCE)</t>
    </r>
    <r>
      <rPr>
        <sz val="22"/>
        <color rgb="FF000000"/>
        <rFont val="맑은 고딕"/>
        <family val="3"/>
        <charset val="129"/>
        <scheme val="minor"/>
      </rPr>
      <t xml:space="preserve"> </t>
    </r>
    <phoneticPr fontId="4" type="noConversion"/>
  </si>
  <si>
    <t>외화송금 시 부가가치세 대리납부 해당여부 확인사항</t>
    <phoneticPr fontId="4" type="noConversion"/>
  </si>
  <si>
    <r>
      <t xml:space="preserve">1. </t>
    </r>
    <r>
      <rPr>
        <b/>
        <sz val="10"/>
        <color theme="1"/>
        <rFont val="맑은 고딕"/>
        <family val="3"/>
        <charset val="129"/>
        <scheme val="minor"/>
      </rPr>
      <t>(재원)</t>
    </r>
    <r>
      <rPr>
        <sz val="10"/>
        <color theme="1"/>
        <rFont val="맑은 고딕"/>
        <family val="2"/>
        <charset val="129"/>
        <scheme val="minor"/>
      </rPr>
      <t xml:space="preserve"> 1. 매출부가세를 내지 않는 과제에서 지출하는가?
   (지원금, 면세, 간접비일 경우 Yes, 과세</t>
    </r>
    <r>
      <rPr>
        <sz val="10"/>
        <color theme="1"/>
        <rFont val="Tahoma"/>
        <family val="2"/>
        <charset val="1"/>
      </rPr>
      <t>‧</t>
    </r>
    <r>
      <rPr>
        <sz val="10"/>
        <color theme="1"/>
        <rFont val="맑은 고딕"/>
        <family val="2"/>
        <charset val="129"/>
        <scheme val="minor"/>
      </rPr>
      <t>과세(영세율)일 경우 No)
   ※ 과세사업에서 지출하는 비용은 부가가치세 대리납부 대상이 아님
   ※ 국가R&amp;D(한국연구재단·산업부 등) 및 면세사업 과제, 간접비 재원의 경우 해당</t>
    </r>
    <phoneticPr fontId="4" type="noConversion"/>
  </si>
  <si>
    <r>
      <t xml:space="preserve">2. </t>
    </r>
    <r>
      <rPr>
        <b/>
        <sz val="10"/>
        <color theme="1"/>
        <rFont val="맑은 고딕"/>
        <family val="3"/>
        <charset val="129"/>
        <scheme val="minor"/>
      </rPr>
      <t>(거래상대방)</t>
    </r>
    <r>
      <rPr>
        <sz val="10"/>
        <color theme="1"/>
        <rFont val="맑은 고딕"/>
        <family val="2"/>
        <charset val="129"/>
        <scheme val="minor"/>
      </rPr>
      <t xml:space="preserve"> 송금대상은 국내사업장이 없는 해외법인 또는 사업자인가?
   ※ 국내사업장이 별도로 있더라도 국내사업장과 관련 없는 해외법인과의 거래인 경우 Yes</t>
    </r>
    <phoneticPr fontId="4" type="noConversion"/>
  </si>
  <si>
    <r>
      <t>3.</t>
    </r>
    <r>
      <rPr>
        <b/>
        <sz val="10"/>
        <color theme="1"/>
        <rFont val="맑은 고딕"/>
        <family val="3"/>
        <charset val="129"/>
        <scheme val="minor"/>
      </rPr>
      <t xml:space="preserve"> (과세용역)</t>
    </r>
    <r>
      <rPr>
        <sz val="10"/>
        <color theme="1"/>
        <rFont val="맑은 고딕"/>
        <family val="3"/>
        <charset val="129"/>
        <scheme val="minor"/>
      </rPr>
      <t xml:space="preserve"> 부가가치세 과세 대상 용역인가?
   ※ 개인에게 지급하는 인적용역소득(논문교정료 등)은 대리납부 대상이 아님
   ※ 업체에게 지급하는 분석료, 사용료, 사이트이용료, 장비사용료, 교정료 등은 대상임
                                                            또는</t>
    </r>
    <r>
      <rPr>
        <b/>
        <sz val="10"/>
        <color theme="1"/>
        <rFont val="맑은 고딕"/>
        <family val="3"/>
        <charset val="129"/>
        <scheme val="minor"/>
      </rPr>
      <t xml:space="preserve">
   (수입재화) </t>
    </r>
    <r>
      <rPr>
        <sz val="10"/>
        <color theme="1"/>
        <rFont val="맑은 고딕"/>
        <family val="3"/>
        <charset val="129"/>
        <scheme val="minor"/>
      </rPr>
      <t>관세청을 경유하지 않고 반입되는 재화인가?
   (관세청을 경유하지 않을 경우 Yes, 관세청 경유 시 No)
   ※ 수입 시 관세와 함께 부가가치세를 신고</t>
    </r>
    <r>
      <rPr>
        <sz val="10"/>
        <color theme="1"/>
        <rFont val="Tahoma"/>
        <family val="3"/>
        <charset val="1"/>
      </rPr>
      <t>‧</t>
    </r>
    <r>
      <rPr>
        <sz val="10"/>
        <color theme="1"/>
        <rFont val="맑은 고딕"/>
        <family val="3"/>
        <charset val="129"/>
        <scheme val="minor"/>
      </rPr>
      <t>납부하지 않는 경우 대리납부 대상임</t>
    </r>
    <phoneticPr fontId="4" type="noConversion"/>
  </si>
  <si>
    <r>
      <t xml:space="preserve">4. </t>
    </r>
    <r>
      <rPr>
        <b/>
        <sz val="10"/>
        <color theme="1"/>
        <rFont val="맑은 고딕"/>
        <family val="3"/>
        <charset val="129"/>
        <scheme val="minor"/>
      </rPr>
      <t>(장소)</t>
    </r>
    <r>
      <rPr>
        <sz val="10"/>
        <color theme="1"/>
        <rFont val="맑은 고딕"/>
        <family val="2"/>
        <charset val="129"/>
        <scheme val="minor"/>
      </rPr>
      <t xml:space="preserve"> 용역 및 재화를 국내에서 사용 또는 소비하는가?</t>
    </r>
    <phoneticPr fontId="4" type="noConversion"/>
  </si>
  <si>
    <t>위 항목 모두에 “Yes”에 체크한 경우 부가가치세 대리납부 대상에 해당되오니 대리납부 금액을 책정하여 
지출하여 주시기 바랍니다.</t>
    <phoneticPr fontId="4" type="noConversion"/>
  </si>
  <si>
    <t>※ 세무조사 결과에 따라 해외위탁연구비에 대하여 정산과 집행내역의 보고가 수행된다는 사실만으로 
   대리납부 대상에서 제외할 수 없습니다.</t>
    <phoneticPr fontId="4" type="noConversion"/>
  </si>
  <si>
    <t>※ 대리납부에 해당하는 경우 용역대가(환전수수료 등 제외)의 10%를 산학협력단 부가가치세 계좌로 
   함께 청구하여 주시기 바랍니다.</t>
    <phoneticPr fontId="4" type="noConversion"/>
  </si>
  <si>
    <t>5</t>
    <phoneticPr fontId="4" type="noConversion"/>
  </si>
  <si>
    <t>11</t>
    <phoneticPr fontId="4" type="noConversion"/>
  </si>
  <si>
    <t>목적</t>
    <phoneticPr fontId="4" type="noConversion"/>
  </si>
  <si>
    <t>일시</t>
    <phoneticPr fontId="4" type="noConversion"/>
  </si>
  <si>
    <t>회의비(식비) 사전 품의서</t>
    <phoneticPr fontId="4" type="noConversion"/>
  </si>
  <si>
    <t>연구과제명</t>
    <phoneticPr fontId="4" type="noConversion"/>
  </si>
  <si>
    <t>연구기간</t>
    <phoneticPr fontId="4" type="noConversion"/>
  </si>
  <si>
    <t>지원기관</t>
    <phoneticPr fontId="4" type="noConversion"/>
  </si>
  <si>
    <t>사업명</t>
    <phoneticPr fontId="4" type="noConversion"/>
  </si>
  <si>
    <t>연구비</t>
    <phoneticPr fontId="4" type="noConversion"/>
  </si>
  <si>
    <t>위와 같이 연구수행과 관련하여 회의비를 사용하고자 합니다.</t>
    <phoneticPr fontId="4" type="noConversion"/>
  </si>
  <si>
    <r>
      <t xml:space="preserve"> ◇ </t>
    </r>
    <r>
      <rPr>
        <sz val="11"/>
        <color rgb="FFFF0000"/>
        <rFont val="맑은 고딕"/>
        <family val="3"/>
        <charset val="129"/>
        <scheme val="minor"/>
      </rPr>
      <t>국가연구개발사업 연구개발비 사용 기준 제114조제2항, [별표6]</t>
    </r>
    <r>
      <rPr>
        <sz val="11"/>
        <color theme="1"/>
        <rFont val="맑은 고딕"/>
        <family val="3"/>
        <charset val="129"/>
        <scheme val="minor"/>
      </rPr>
      <t xml:space="preserve">
 ① 서울대학교 산학협력단 간접비 : 인건비 포함 직접비(위탁연구비, 부가세 제외)의 </t>
    </r>
    <r>
      <rPr>
        <b/>
        <sz val="11"/>
        <color rgb="FFFF0000"/>
        <rFont val="맑은 고딕"/>
        <family val="3"/>
        <charset val="129"/>
        <scheme val="minor"/>
      </rPr>
      <t>24.69%</t>
    </r>
    <r>
      <rPr>
        <b/>
        <sz val="11"/>
        <color theme="1"/>
        <rFont val="맑은 고딕"/>
        <family val="3"/>
        <charset val="129"/>
        <scheme val="minor"/>
      </rPr>
      <t xml:space="preserve"> 
     </t>
    </r>
    <r>
      <rPr>
        <sz val="10"/>
        <color rgb="FFFF0000"/>
        <rFont val="맑은 고딕"/>
        <family val="3"/>
        <charset val="129"/>
        <scheme val="minor"/>
      </rPr>
      <t>(2024.2.29.~다음 간접비 고시율 시행 전까지)</t>
    </r>
    <r>
      <rPr>
        <sz val="11"/>
        <color theme="1"/>
        <rFont val="맑은 고딕"/>
        <family val="3"/>
        <charset val="129"/>
        <scheme val="minor"/>
      </rPr>
      <t xml:space="preserve">
 ◇ 국가를 당사자로 하는 계약에 관한 법률 시행규칙 제8조
 ② </t>
    </r>
    <r>
      <rPr>
        <sz val="11"/>
        <color rgb="FFFF0000"/>
        <rFont val="맑은 고딕"/>
        <family val="3"/>
        <charset val="129"/>
        <scheme val="minor"/>
      </rPr>
      <t>용역사업</t>
    </r>
    <r>
      <rPr>
        <sz val="11"/>
        <color theme="1"/>
        <rFont val="맑은 고딕"/>
        <family val="3"/>
        <charset val="129"/>
        <scheme val="minor"/>
      </rPr>
      <t xml:space="preserve"> 일반관리비 : 인건비와 직접비(부가세 제외) 합의</t>
    </r>
    <r>
      <rPr>
        <b/>
        <sz val="11"/>
        <color rgb="FFFF0000"/>
        <rFont val="맑은 고딕"/>
        <family val="3"/>
        <charset val="129"/>
        <scheme val="minor"/>
      </rPr>
      <t xml:space="preserve"> 6%</t>
    </r>
    <r>
      <rPr>
        <sz val="11"/>
        <color theme="1"/>
        <rFont val="맑은 고딕"/>
        <family val="3"/>
        <charset val="129"/>
        <scheme val="minor"/>
      </rPr>
      <t xml:space="preserve">
 ③ </t>
    </r>
    <r>
      <rPr>
        <sz val="11"/>
        <color rgb="FFFF0000"/>
        <rFont val="맑은 고딕"/>
        <family val="3"/>
        <charset val="129"/>
        <scheme val="minor"/>
      </rPr>
      <t>민간사업</t>
    </r>
    <r>
      <rPr>
        <sz val="11"/>
        <color theme="1"/>
        <rFont val="맑은 고딕"/>
        <family val="3"/>
        <charset val="129"/>
        <scheme val="minor"/>
      </rPr>
      <t xml:space="preserve"> 간접비 : 총연구비(</t>
    </r>
    <r>
      <rPr>
        <sz val="11"/>
        <rFont val="맑은 고딕"/>
        <family val="3"/>
        <charset val="129"/>
        <scheme val="minor"/>
      </rPr>
      <t>위탁연구개발비, 부</t>
    </r>
    <r>
      <rPr>
        <sz val="11"/>
        <color theme="1"/>
        <rFont val="맑은 고딕"/>
        <family val="3"/>
        <charset val="129"/>
        <scheme val="minor"/>
      </rPr>
      <t xml:space="preserve">가세 제외)의 </t>
    </r>
    <r>
      <rPr>
        <b/>
        <sz val="11"/>
        <color rgb="FFFF0000"/>
        <rFont val="맑은 고딕"/>
        <family val="3"/>
        <charset val="129"/>
        <scheme val="minor"/>
      </rPr>
      <t>15%</t>
    </r>
    <phoneticPr fontId="62" type="noConversion"/>
  </si>
  <si>
    <t>지급내역</t>
    <phoneticPr fontId="4" type="noConversion"/>
  </si>
  <si>
    <t>주민등록번호
(여권번호)</t>
    <phoneticPr fontId="4" type="noConversion"/>
  </si>
  <si>
    <t>신청자</t>
    <phoneticPr fontId="4" type="noConversion"/>
  </si>
  <si>
    <r>
      <t>회의비(식비) 사전 신청서</t>
    </r>
    <r>
      <rPr>
        <b/>
        <sz val="11"/>
        <color rgb="FFFF0000"/>
        <rFont val="맑은 고딕"/>
        <family val="3"/>
        <charset val="129"/>
        <scheme val="minor"/>
      </rPr>
      <t>＊지원기관 요청시</t>
    </r>
    <phoneticPr fontId="0" type="Hiragana"/>
  </si>
  <si>
    <t>참석자수</t>
    <phoneticPr fontId="4" type="noConversion"/>
  </si>
  <si>
    <t>전체 인원수로 기입(ex. 연구책임자 외 00명)</t>
    <phoneticPr fontId="4" type="noConversion"/>
  </si>
  <si>
    <t>회의비(식비) 사전 신청서</t>
    <phoneticPr fontId="4" type="noConversion"/>
  </si>
  <si>
    <t>회의참석</t>
  </si>
  <si>
    <t>발표(세미나, 전시회 등)</t>
    <phoneticPr fontId="4" type="noConversion"/>
  </si>
  <si>
    <t>참석 및 자료수집(세미나, 전시회 등)</t>
    <phoneticPr fontId="4" type="noConversion"/>
  </si>
  <si>
    <t>학술회의 참석 및 발표</t>
    <phoneticPr fontId="4" type="noConversion"/>
  </si>
  <si>
    <t xml:space="preserve"> 통화 (Currency)                                    금액 (Amount)                                   (수수료 별도 / 포함) ( □ 현지통화 :           )</t>
    <phoneticPr fontId="4" type="noConversion"/>
  </si>
  <si>
    <t>(2024.10. 서울대학교 산학협력단)</t>
    <phoneticPr fontId="4" type="noConversion"/>
  </si>
  <si>
    <t>일</t>
    <phoneticPr fontId="4" type="noConversion"/>
  </si>
  <si>
    <t>(비과세식대: 200,000원)</t>
    <phoneticPr fontId="4" type="noConversion"/>
  </si>
  <si>
    <t>AI연구원</t>
    <phoneticPr fontId="4" type="noConversion"/>
  </si>
  <si>
    <t>장병탁</t>
    <phoneticPr fontId="4" type="noConversion"/>
  </si>
  <si>
    <t>서울시 관악구 관악로 1 303동 4층</t>
    <phoneticPr fontId="4" type="noConversion"/>
  </si>
  <si>
    <t>(비과세식대: 200,000원)</t>
    <phoneticPr fontId="4" type="noConversion"/>
  </si>
  <si>
    <r>
      <t xml:space="preserve">   </t>
    </r>
    <r>
      <rPr>
        <u/>
        <sz val="11"/>
        <color rgb="FF0000FF"/>
        <rFont val="맑은 고딕"/>
        <family val="3"/>
        <charset val="129"/>
        <scheme val="minor"/>
      </rPr>
      <t>설치조건, 보증조건, 훈련 조건, 납기 등</t>
    </r>
    <r>
      <rPr>
        <sz val="11"/>
        <rFont val="맑은 고딕"/>
        <family val="3"/>
        <charset val="129"/>
        <scheme val="minor"/>
      </rPr>
      <t xml:space="preserve">
1. 납품장소:
2. 규격담당자(이름,연락처):
3. 납기일:
4. 하자보증기간:
5. 설치조건: </t>
    </r>
    <phoneticPr fontId="21" type="noConversion"/>
  </si>
  <si>
    <t>김영오</t>
  </si>
  <si>
    <t>산업통상자원부</t>
  </si>
  <si>
    <t>AI 휴머노이드 로봇 기술혁신 센터 구축</t>
  </si>
  <si>
    <t>0668-20250202</t>
  </si>
  <si>
    <t>공과대학 303동 321호 서버실</t>
  </si>
  <si>
    <t>김주한</t>
  </si>
  <si>
    <t>385-13-01778</t>
  </si>
  <si>
    <t>애드 디자인</t>
  </si>
  <si>
    <t>임송하 (인)</t>
  </si>
  <si>
    <t>경기도 양주시 옥정동로9길 35, 503동 402호</t>
  </si>
  <si>
    <t>건설업</t>
  </si>
  <si>
    <t>도배, 실내 장식 및 내장 목공사업</t>
  </si>
  <si>
    <t>2025. 12. 31.</t>
  </si>
  <si>
    <t>울트라 암막 방염, 차음(지오04)</t>
  </si>
  <si>
    <t>울트라 암막 방염</t>
  </si>
  <si>
    <t>록파일 아이보리 암막 방염</t>
  </si>
  <si>
    <t>설치비 및 운영비</t>
  </si>
  <si>
    <t>SET</t>
  </si>
  <si>
    <t>EA(개)</t>
  </si>
  <si>
    <t>임송하(애드디자인)</t>
  </si>
  <si>
    <t>(농협)352-2013-3056-63</t>
  </si>
  <si>
    <t>박영진 실장</t>
  </si>
  <si>
    <t>010 8760 8532</t>
  </si>
  <si>
    <t>2025.12.31.</t>
  </si>
  <si>
    <t>김 유 리</t>
  </si>
  <si>
    <t>이 준 기</t>
  </si>
  <si>
    <t>AI휴머노이드 기술혁신센터</t>
  </si>
  <si>
    <t>SRnD 사용내역서 출력</t>
  </si>
  <si>
    <t>대한민국 서울특별시</t>
    <phoneticPr fontId="4" type="noConversion"/>
  </si>
  <si>
    <t>박연묵</t>
    <phoneticPr fontId="4" type="noConversion"/>
  </si>
  <si>
    <t>공학연구원</t>
    <phoneticPr fontId="4" type="noConversion"/>
  </si>
  <si>
    <t>산학협력중점교원</t>
    <phoneticPr fontId="4" type="noConversion"/>
  </si>
  <si>
    <t>서울대</t>
    <phoneticPr fontId="4" type="noConversion"/>
  </si>
  <si>
    <t>투모로 로보틱스</t>
    <phoneticPr fontId="4" type="noConversion"/>
  </si>
  <si>
    <t>박연묵 (인)</t>
    <phoneticPr fontId="4" type="noConversion"/>
  </si>
  <si>
    <t>AI 휴머노이드 로봇 기술혁신 센터 구축 사업 논의</t>
    <phoneticPr fontId="4" type="noConversion"/>
  </si>
  <si>
    <t xml:space="preserve">AI 휴머노이드 로봇 기술혁신 센터 구축 사업 논의, 로봇 파운데이션 모델 내용 논의, 휴머노이드 로봇 학습 환경 논의 </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</si>
</sst>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2" formatCode="_-&quot;₩&quot;* #,##0_-;\-&quot;₩&quot;* #,##0_-;_-&quot;₩&quot;* &quot;-&quot;_-;_-@_-"/>
    <numFmt numFmtId="41" formatCode="_-* #,##0_-;\-* #,##0_-;_-* &quot;-&quot;_-;_-@_-"/>
    <numFmt numFmtId="43" formatCode="_-* #,##0.00_-;\-* #,##0.00_-;_-* &quot;-&quot;??_-;_-@_-"/>
    <numFmt numFmtId="176" formatCode="yyyy&quot;년&quot;\ m&quot;월&quot;\ d&quot;일&quot;;@"/>
    <numFmt numFmtId="177" formatCode="\2000\-00\-00"/>
    <numFmt numFmtId="178" formatCode="h:mm;@"/>
    <numFmt numFmtId="179" formatCode="yyyy/mm/dd;@"/>
    <numFmt numFmtId="180" formatCode="#,##0\ &quot;%&quot;"/>
    <numFmt numFmtId="181" formatCode="h&quot;시간&quot;\ mm&quot;분&quot;"/>
    <numFmt numFmtId="182" formatCode="h&quot;h&quot;\ mm&quot;m&quot;"/>
    <numFmt numFmtId="183" formatCode="0.00_ "/>
    <numFmt numFmtId="184" formatCode="0_ "/>
    <numFmt numFmtId="185" formatCode="000000\-0000000"/>
    <numFmt numFmtId="186" formatCode="#,###,###&quot;원&quot;"/>
    <numFmt numFmtId="187" formatCode="General\%"/>
    <numFmt numFmtId="188" formatCode="_-[$₩-412]* #,##0_-;\-[$₩-412]* #,##0_-;_-[$₩-412]* &quot;-&quot;??_-;_-@_-"/>
    <numFmt numFmtId="189" formatCode="0_);[Red]\(0\)"/>
    <numFmt numFmtId="190" formatCode="&quot;₩&quot;#,##0_);\(&quot;₩&quot;#,##0\)"/>
  </numFmts>
  <fonts count="185">
    <font>
      <sz val="11"/>
      <color theme="1"/>
      <name val="맑은 고딕"/>
      <family val="2"/>
      <charset val="129"/>
      <scheme val="minor"/>
    </font>
    <font>
      <sz val="11"/>
      <color theme="1"/>
      <name val="맑은 고딕"/>
      <family val="2"/>
      <charset val="129"/>
      <scheme val="minor"/>
    </font>
    <font>
      <sz val="11"/>
      <color theme="0"/>
      <name val="맑은 고딕"/>
      <family val="2"/>
      <charset val="129"/>
      <scheme val="minor"/>
    </font>
    <font>
      <b/>
      <sz val="20"/>
      <color theme="1"/>
      <name val="맑은 고딕"/>
      <family val="3"/>
      <charset val="129"/>
      <scheme val="minor"/>
    </font>
    <font>
      <sz val="8"/>
      <name val="맑은 고딕"/>
      <family val="2"/>
      <charset val="129"/>
      <scheme val="minor"/>
    </font>
    <font>
      <b/>
      <sz val="14"/>
      <color theme="0"/>
      <name val="맑은 고딕"/>
      <family val="3"/>
      <charset val="129"/>
      <scheme val="minor"/>
    </font>
    <font>
      <b/>
      <sz val="12"/>
      <color rgb="FF002060"/>
      <name val="맑은 고딕"/>
      <family val="3"/>
      <charset val="129"/>
      <scheme val="minor"/>
    </font>
    <font>
      <b/>
      <sz val="11"/>
      <color theme="1"/>
      <name val="맑은 고딕"/>
      <family val="3"/>
      <charset val="129"/>
      <scheme val="minor"/>
    </font>
    <font>
      <b/>
      <sz val="11"/>
      <color rgb="FF0000FF"/>
      <name val="맑은 고딕"/>
      <family val="3"/>
      <charset val="129"/>
      <scheme val="minor"/>
    </font>
    <font>
      <sz val="11"/>
      <color theme="1"/>
      <name val="맑은 고딕"/>
      <family val="3"/>
      <charset val="129"/>
      <scheme val="minor"/>
    </font>
    <font>
      <u/>
      <sz val="11"/>
      <color theme="10"/>
      <name val="맑은 고딕"/>
      <family val="2"/>
      <charset val="129"/>
      <scheme val="minor"/>
    </font>
    <font>
      <b/>
      <sz val="9"/>
      <color indexed="81"/>
      <name val="돋움"/>
      <family val="3"/>
      <charset val="129"/>
    </font>
    <font>
      <b/>
      <sz val="9"/>
      <color indexed="81"/>
      <name val="Tahoma"/>
      <family val="2"/>
    </font>
    <font>
      <sz val="9"/>
      <color indexed="81"/>
      <name val="Tahoma"/>
      <family val="2"/>
    </font>
    <font>
      <sz val="12"/>
      <color theme="1"/>
      <name val="맑은 고딕"/>
      <family val="3"/>
      <charset val="129"/>
      <scheme val="minor"/>
    </font>
    <font>
      <b/>
      <sz val="22"/>
      <color rgb="FF000000"/>
      <name val="맑은 고딕"/>
      <family val="3"/>
      <charset val="129"/>
      <scheme val="minor"/>
    </font>
    <font>
      <b/>
      <sz val="11"/>
      <color rgb="FF000000"/>
      <name val="맑은 고딕"/>
      <family val="3"/>
      <charset val="129"/>
      <scheme val="minor"/>
    </font>
    <font>
      <sz val="11"/>
      <color rgb="FF000000"/>
      <name val="맑은 고딕"/>
      <family val="3"/>
      <charset val="129"/>
      <scheme val="minor"/>
    </font>
    <font>
      <u/>
      <sz val="11"/>
      <color rgb="FF000000"/>
      <name val="맑은 고딕"/>
      <family val="3"/>
      <charset val="129"/>
      <scheme val="minor"/>
    </font>
    <font>
      <b/>
      <sz val="22"/>
      <name val="맑은 고딕"/>
      <family val="3"/>
      <charset val="129"/>
      <scheme val="minor"/>
    </font>
    <font>
      <b/>
      <sz val="10"/>
      <name val="맑은 고딕"/>
      <family val="3"/>
      <charset val="129"/>
      <scheme val="minor"/>
    </font>
    <font>
      <sz val="8"/>
      <name val="돋움"/>
      <family val="3"/>
      <charset val="129"/>
    </font>
    <font>
      <sz val="11"/>
      <name val="맑은 고딕"/>
      <family val="3"/>
      <charset val="129"/>
      <scheme val="minor"/>
    </font>
    <font>
      <sz val="10"/>
      <name val="맑은 고딕"/>
      <family val="3"/>
      <charset val="129"/>
      <scheme val="minor"/>
    </font>
    <font>
      <sz val="10"/>
      <color theme="1"/>
      <name val="맑은 고딕"/>
      <family val="2"/>
      <charset val="129"/>
      <scheme val="minor"/>
    </font>
    <font>
      <sz val="10"/>
      <name val="돋움"/>
      <family val="3"/>
      <charset val="129"/>
    </font>
    <font>
      <sz val="10"/>
      <color theme="1"/>
      <name val="Segoe UI Symbol"/>
      <family val="2"/>
    </font>
    <font>
      <b/>
      <sz val="10"/>
      <color theme="1"/>
      <name val="맑은 고딕"/>
      <family val="3"/>
      <charset val="129"/>
      <scheme val="minor"/>
    </font>
    <font>
      <sz val="10"/>
      <color theme="1"/>
      <name val="맑은 고딕"/>
      <family val="3"/>
      <charset val="129"/>
      <scheme val="minor"/>
    </font>
    <font>
      <b/>
      <sz val="10"/>
      <color rgb="FFFF0000"/>
      <name val="맑은 고딕"/>
      <family val="3"/>
      <charset val="129"/>
      <scheme val="minor"/>
    </font>
    <font>
      <sz val="9"/>
      <color theme="1"/>
      <name val="맑은 고딕"/>
      <family val="2"/>
      <charset val="129"/>
      <scheme val="minor"/>
    </font>
    <font>
      <b/>
      <u/>
      <sz val="11"/>
      <color theme="0"/>
      <name val="맑은 고딕"/>
      <family val="3"/>
      <charset val="129"/>
      <scheme val="minor"/>
    </font>
    <font>
      <sz val="11"/>
      <color rgb="FF0000FF"/>
      <name val="맑은 고딕"/>
      <family val="3"/>
      <charset val="129"/>
      <scheme val="minor"/>
    </font>
    <font>
      <sz val="12"/>
      <color rgb="FF000000"/>
      <name val="맑은 고딕"/>
      <family val="3"/>
      <charset val="129"/>
      <scheme val="minor"/>
    </font>
    <font>
      <b/>
      <sz val="12"/>
      <color rgb="FF000000"/>
      <name val="맑은 고딕"/>
      <family val="3"/>
      <charset val="129"/>
      <scheme val="minor"/>
    </font>
    <font>
      <b/>
      <sz val="14"/>
      <color rgb="FF000000"/>
      <name val="맑은 고딕"/>
      <family val="3"/>
      <charset val="129"/>
      <scheme val="minor"/>
    </font>
    <font>
      <sz val="9"/>
      <color rgb="FF000000"/>
      <name val="굴림"/>
      <family val="3"/>
      <charset val="129"/>
    </font>
    <font>
      <sz val="10"/>
      <name val="맑은 고딕"/>
      <family val="3"/>
      <charset val="129"/>
    </font>
    <font>
      <sz val="10"/>
      <color rgb="FF000000"/>
      <name val="맑은 고딕"/>
      <family val="3"/>
      <charset val="129"/>
      <scheme val="minor"/>
    </font>
    <font>
      <sz val="9"/>
      <color theme="1"/>
      <name val="맑은 고딕"/>
      <family val="3"/>
      <charset val="129"/>
      <scheme val="minor"/>
    </font>
    <font>
      <sz val="9"/>
      <name val="맑은 고딕"/>
      <family val="3"/>
      <charset val="129"/>
    </font>
    <font>
      <sz val="9"/>
      <name val="맑은 고딕"/>
      <family val="3"/>
      <charset val="129"/>
      <scheme val="minor"/>
    </font>
    <font>
      <sz val="11"/>
      <name val="돋움"/>
      <family val="3"/>
      <charset val="129"/>
    </font>
    <font>
      <b/>
      <sz val="11"/>
      <name val="맑은 고딕"/>
      <family val="3"/>
      <charset val="129"/>
      <scheme val="minor"/>
    </font>
    <font>
      <b/>
      <sz val="12"/>
      <name val="맑은 고딕"/>
      <family val="3"/>
      <charset val="129"/>
      <scheme val="minor"/>
    </font>
    <font>
      <sz val="10"/>
      <name val="나눔명조"/>
      <family val="1"/>
      <charset val="129"/>
    </font>
    <font>
      <sz val="11"/>
      <color rgb="FFFF0000"/>
      <name val="맑은 고딕"/>
      <family val="3"/>
      <charset val="129"/>
      <scheme val="minor"/>
    </font>
    <font>
      <sz val="9"/>
      <color indexed="81"/>
      <name val="돋움"/>
      <family val="3"/>
      <charset val="129"/>
    </font>
    <font>
      <b/>
      <sz val="11"/>
      <color rgb="FFFF0000"/>
      <name val="맑은 고딕"/>
      <family val="3"/>
      <charset val="129"/>
      <scheme val="minor"/>
    </font>
    <font>
      <b/>
      <u/>
      <sz val="22"/>
      <color rgb="FF000000"/>
      <name val="맑은 고딕"/>
      <family val="3"/>
      <charset val="129"/>
      <scheme val="minor"/>
    </font>
    <font>
      <b/>
      <u/>
      <sz val="11"/>
      <color rgb="FF000000"/>
      <name val="맑은 고딕"/>
      <family val="3"/>
      <charset val="129"/>
      <scheme val="minor"/>
    </font>
    <font>
      <sz val="11"/>
      <color rgb="FF969696"/>
      <name val="맑은 고딕"/>
      <family val="3"/>
      <charset val="129"/>
      <scheme val="minor"/>
    </font>
    <font>
      <sz val="9"/>
      <color rgb="FF000000"/>
      <name val="맑은 고딕"/>
      <family val="3"/>
      <charset val="129"/>
      <scheme val="minor"/>
    </font>
    <font>
      <sz val="12"/>
      <color rgb="FF000000"/>
      <name val="HY중고딕"/>
      <family val="1"/>
      <charset val="129"/>
    </font>
    <font>
      <sz val="8"/>
      <color rgb="FF000000"/>
      <name val="맑은 고딕"/>
      <family val="3"/>
      <charset val="129"/>
      <scheme val="minor"/>
    </font>
    <font>
      <b/>
      <sz val="10"/>
      <color rgb="FF0000FF"/>
      <name val="맑은 고딕"/>
      <family val="3"/>
      <charset val="129"/>
      <scheme val="minor"/>
    </font>
    <font>
      <b/>
      <sz val="10"/>
      <color rgb="FF000000"/>
      <name val="맑은 고딕"/>
      <family val="3"/>
      <charset val="129"/>
      <scheme val="minor"/>
    </font>
    <font>
      <b/>
      <sz val="8"/>
      <color rgb="FF000000"/>
      <name val="맑은 고딕"/>
      <family val="3"/>
      <charset val="129"/>
      <scheme val="minor"/>
    </font>
    <font>
      <sz val="7"/>
      <color rgb="FF000000"/>
      <name val="맑은 고딕"/>
      <family val="3"/>
      <charset val="129"/>
      <scheme val="minor"/>
    </font>
    <font>
      <b/>
      <sz val="9"/>
      <color rgb="FF000000"/>
      <name val="맑은 고딕"/>
      <family val="3"/>
      <charset val="129"/>
      <scheme val="minor"/>
    </font>
    <font>
      <b/>
      <u/>
      <sz val="9"/>
      <color rgb="FF000000"/>
      <name val="맑은 고딕"/>
      <family val="3"/>
      <charset val="129"/>
      <scheme val="minor"/>
    </font>
    <font>
      <b/>
      <sz val="9"/>
      <color rgb="FF0000FF"/>
      <name val="맑은 고딕"/>
      <family val="3"/>
      <charset val="129"/>
      <scheme val="minor"/>
    </font>
    <font>
      <sz val="8"/>
      <name val="맑은 고딕"/>
      <family val="3"/>
      <charset val="129"/>
    </font>
    <font>
      <sz val="11"/>
      <color theme="0"/>
      <name val="맑은 고딕"/>
      <family val="3"/>
      <charset val="129"/>
      <scheme val="minor"/>
    </font>
    <font>
      <sz val="12"/>
      <color theme="5" tint="-0.249977111117893"/>
      <name val="Impact"/>
      <family val="2"/>
    </font>
    <font>
      <b/>
      <u/>
      <sz val="11"/>
      <color rgb="FF0000FF"/>
      <name val="맑은 고딕"/>
      <family val="3"/>
      <charset val="129"/>
      <scheme val="minor"/>
    </font>
    <font>
      <b/>
      <sz val="9"/>
      <name val="Dotum"/>
      <family val="3"/>
      <charset val="129"/>
    </font>
    <font>
      <i/>
      <sz val="11"/>
      <color rgb="FF00B0F0"/>
      <name val="맑은 고딕"/>
      <family val="3"/>
      <charset val="129"/>
      <scheme val="minor"/>
    </font>
    <font>
      <sz val="11"/>
      <color theme="1"/>
      <name val="맑은 고딕"/>
      <family val="2"/>
      <scheme val="minor"/>
    </font>
    <font>
      <b/>
      <sz val="12"/>
      <color rgb="FFFF0000"/>
      <name val="돋움"/>
      <family val="3"/>
      <charset val="129"/>
    </font>
    <font>
      <sz val="10"/>
      <color rgb="FF0000FF"/>
      <name val="맑은 고딕"/>
      <family val="3"/>
      <charset val="129"/>
      <scheme val="minor"/>
    </font>
    <font>
      <b/>
      <sz val="11"/>
      <color indexed="10"/>
      <name val="맑은 고딕"/>
      <family val="3"/>
      <charset val="129"/>
    </font>
    <font>
      <b/>
      <u/>
      <sz val="14"/>
      <color indexed="10"/>
      <name val="맑은 고딕"/>
      <family val="3"/>
      <charset val="129"/>
    </font>
    <font>
      <b/>
      <sz val="10"/>
      <color indexed="14"/>
      <name val="맑은 고딕"/>
      <family val="3"/>
      <charset val="129"/>
    </font>
    <font>
      <b/>
      <sz val="10"/>
      <color indexed="81"/>
      <name val="돋움"/>
      <family val="3"/>
      <charset val="129"/>
    </font>
    <font>
      <b/>
      <sz val="20"/>
      <name val="맑은 고딕"/>
      <family val="3"/>
      <charset val="129"/>
    </font>
    <font>
      <b/>
      <sz val="22"/>
      <name val="맑은 고딕"/>
      <family val="3"/>
      <charset val="129"/>
    </font>
    <font>
      <sz val="22"/>
      <color rgb="FF000000"/>
      <name val="HY견고딕"/>
      <family val="1"/>
      <charset val="129"/>
    </font>
    <font>
      <sz val="22"/>
      <color rgb="FF000000"/>
      <name val="맑은 고딕"/>
      <family val="3"/>
      <charset val="129"/>
      <scheme val="minor"/>
    </font>
    <font>
      <b/>
      <sz val="22"/>
      <color theme="1"/>
      <name val="맑은 고딕"/>
      <family val="3"/>
      <charset val="129"/>
      <scheme val="minor"/>
    </font>
    <font>
      <b/>
      <sz val="14"/>
      <color theme="1"/>
      <name val="맑은 고딕"/>
      <family val="3"/>
      <charset val="129"/>
      <scheme val="minor"/>
    </font>
    <font>
      <sz val="12"/>
      <color rgb="FFFF0000"/>
      <name val="맑은 고딕"/>
      <family val="3"/>
      <charset val="129"/>
      <scheme val="minor"/>
    </font>
    <font>
      <b/>
      <sz val="11"/>
      <color theme="5" tint="-0.249977111117893"/>
      <name val="맑은 고딕"/>
      <family val="3"/>
      <charset val="129"/>
      <scheme val="minor"/>
    </font>
    <font>
      <b/>
      <sz val="11"/>
      <color rgb="FF000000"/>
      <name val="맑은 고딕"/>
      <family val="3"/>
      <charset val="129"/>
    </font>
    <font>
      <sz val="11"/>
      <color theme="0" tint="-0.499984740745262"/>
      <name val="맑은 고딕"/>
      <family val="3"/>
      <charset val="129"/>
      <scheme val="minor"/>
    </font>
    <font>
      <sz val="12"/>
      <color theme="0" tint="-0.499984740745262"/>
      <name val="맑은 고딕"/>
      <family val="3"/>
      <charset val="129"/>
      <scheme val="minor"/>
    </font>
    <font>
      <b/>
      <u/>
      <sz val="10"/>
      <color rgb="FF0000FF"/>
      <name val="맑은 고딕"/>
      <family val="3"/>
      <charset val="129"/>
      <scheme val="minor"/>
    </font>
    <font>
      <sz val="9"/>
      <color rgb="FF0000FF"/>
      <name val="맑은 고딕"/>
      <family val="3"/>
      <charset val="129"/>
      <scheme val="minor"/>
    </font>
    <font>
      <b/>
      <sz val="14"/>
      <name val="맑은 고딕"/>
      <family val="3"/>
      <charset val="129"/>
      <scheme val="minor"/>
    </font>
    <font>
      <sz val="10"/>
      <name val="맑은 고딕"/>
      <family val="2"/>
      <charset val="129"/>
      <scheme val="minor"/>
    </font>
    <font>
      <b/>
      <u/>
      <sz val="12"/>
      <color rgb="FF0000FF"/>
      <name val="맑은 고딕"/>
      <family val="3"/>
      <charset val="129"/>
    </font>
    <font>
      <b/>
      <u/>
      <sz val="12"/>
      <color rgb="FFFF0000"/>
      <name val="맑은 고딕"/>
      <family val="3"/>
      <charset val="129"/>
    </font>
    <font>
      <sz val="12"/>
      <color theme="1"/>
      <name val="맑은 고딕"/>
      <family val="3"/>
      <charset val="129"/>
    </font>
    <font>
      <b/>
      <sz val="22"/>
      <color rgb="FF000000"/>
      <name val="함초롬바탕"/>
      <family val="1"/>
      <charset val="129"/>
    </font>
    <font>
      <sz val="11"/>
      <color theme="1"/>
      <name val="함초롬바탕"/>
      <family val="1"/>
      <charset val="129"/>
    </font>
    <font>
      <sz val="11"/>
      <color rgb="FF0000FF"/>
      <name val="함초롬바탕"/>
      <family val="1"/>
      <charset val="129"/>
    </font>
    <font>
      <b/>
      <sz val="11"/>
      <color rgb="FF000000"/>
      <name val="함초롬바탕"/>
      <family val="1"/>
      <charset val="129"/>
    </font>
    <font>
      <sz val="11"/>
      <color rgb="FF000000"/>
      <name val="함초롬바탕"/>
      <family val="1"/>
      <charset val="129"/>
    </font>
    <font>
      <sz val="11"/>
      <name val="함초롬바탕"/>
      <family val="1"/>
      <charset val="129"/>
    </font>
    <font>
      <b/>
      <sz val="11"/>
      <name val="함초롬바탕"/>
      <family val="1"/>
      <charset val="129"/>
    </font>
    <font>
      <b/>
      <i/>
      <sz val="11"/>
      <color rgb="FFFF0000"/>
      <name val="함초롬바탕"/>
      <family val="1"/>
      <charset val="129"/>
    </font>
    <font>
      <b/>
      <sz val="11"/>
      <color theme="1"/>
      <name val="함초롬바탕"/>
      <family val="1"/>
      <charset val="129"/>
    </font>
    <font>
      <sz val="13"/>
      <color rgb="FF000000"/>
      <name val="함초롬바탕"/>
      <family val="1"/>
      <charset val="129"/>
    </font>
    <font>
      <sz val="12"/>
      <color rgb="FF000000"/>
      <name val="함초롬바탕"/>
      <family val="1"/>
      <charset val="129"/>
    </font>
    <font>
      <b/>
      <sz val="12"/>
      <color rgb="FF000000"/>
      <name val="함초롬바탕"/>
      <family val="1"/>
      <charset val="129"/>
    </font>
    <font>
      <i/>
      <sz val="12"/>
      <color rgb="FF437FC1"/>
      <name val="함초롬바탕"/>
      <family val="1"/>
      <charset val="129"/>
    </font>
    <font>
      <sz val="12"/>
      <color theme="8"/>
      <name val="함초롬바탕"/>
      <family val="1"/>
      <charset val="129"/>
    </font>
    <font>
      <b/>
      <sz val="11"/>
      <color rgb="FFFF0000"/>
      <name val="함초롬바탕"/>
      <family val="1"/>
      <charset val="129"/>
    </font>
    <font>
      <b/>
      <sz val="13"/>
      <color rgb="FF000000"/>
      <name val="함초롬바탕"/>
      <family val="1"/>
      <charset val="129"/>
    </font>
    <font>
      <i/>
      <sz val="12"/>
      <color theme="4"/>
      <name val="함초롬바탕"/>
      <family val="1"/>
      <charset val="129"/>
    </font>
    <font>
      <i/>
      <u/>
      <sz val="12"/>
      <color theme="4"/>
      <name val="함초롬바탕"/>
      <family val="1"/>
      <charset val="129"/>
    </font>
    <font>
      <sz val="36"/>
      <color theme="1"/>
      <name val="HY헤드라인M"/>
      <family val="1"/>
      <charset val="129"/>
    </font>
    <font>
      <b/>
      <sz val="14"/>
      <color theme="1"/>
      <name val="HY헤드라인M"/>
      <family val="1"/>
      <charset val="129"/>
    </font>
    <font>
      <sz val="12"/>
      <color theme="1"/>
      <name val="HY헤드라인M"/>
      <family val="1"/>
      <charset val="129"/>
    </font>
    <font>
      <sz val="11"/>
      <color theme="1"/>
      <name val="HY헤드라인M"/>
      <family val="1"/>
      <charset val="129"/>
    </font>
    <font>
      <b/>
      <sz val="16"/>
      <color theme="1"/>
      <name val="HY헤드라인M"/>
      <family val="1"/>
      <charset val="129"/>
    </font>
    <font>
      <b/>
      <sz val="16"/>
      <name val="HY헤드라인M"/>
      <family val="1"/>
      <charset val="129"/>
    </font>
    <font>
      <b/>
      <i/>
      <sz val="11"/>
      <color theme="0"/>
      <name val="맑은 고딕"/>
      <family val="3"/>
      <charset val="129"/>
      <scheme val="minor"/>
    </font>
    <font>
      <b/>
      <sz val="11"/>
      <name val="HY헤드라인M"/>
      <family val="1"/>
      <charset val="129"/>
    </font>
    <font>
      <b/>
      <sz val="12"/>
      <name val="HY헤드라인M"/>
      <family val="1"/>
      <charset val="129"/>
    </font>
    <font>
      <b/>
      <sz val="14"/>
      <name val="HY헤드라인M"/>
      <family val="1"/>
      <charset val="129"/>
    </font>
    <font>
      <b/>
      <sz val="11"/>
      <name val="맑은고딕"/>
      <family val="3"/>
      <charset val="129"/>
    </font>
    <font>
      <b/>
      <sz val="12"/>
      <name val="맑은고딕"/>
      <family val="3"/>
      <charset val="129"/>
    </font>
    <font>
      <b/>
      <sz val="13"/>
      <name val="맑은고딕"/>
      <family val="3"/>
      <charset val="129"/>
    </font>
    <font>
      <b/>
      <sz val="14"/>
      <color theme="0"/>
      <name val="맑은고딕"/>
      <family val="3"/>
      <charset val="129"/>
    </font>
    <font>
      <b/>
      <sz val="14"/>
      <name val="맑은고딕"/>
      <family val="3"/>
      <charset val="129"/>
    </font>
    <font>
      <sz val="14"/>
      <name val="맑은 고딕"/>
      <family val="3"/>
      <charset val="129"/>
      <scheme val="minor"/>
    </font>
    <font>
      <b/>
      <i/>
      <sz val="11"/>
      <color rgb="FFC00000"/>
      <name val="HY헤드라인M"/>
      <family val="1"/>
      <charset val="129"/>
    </font>
    <font>
      <sz val="9"/>
      <name val="돋움"/>
      <family val="3"/>
      <charset val="129"/>
    </font>
    <font>
      <b/>
      <sz val="11"/>
      <name val="돋움"/>
      <family val="3"/>
      <charset val="129"/>
    </font>
    <font>
      <i/>
      <sz val="10"/>
      <color rgb="FF0000FF"/>
      <name val="맑은 고딕"/>
      <family val="3"/>
      <charset val="129"/>
      <scheme val="minor"/>
    </font>
    <font>
      <sz val="10"/>
      <color rgb="FFFF00FF"/>
      <name val="맑은 고딕"/>
      <family val="3"/>
      <charset val="129"/>
      <scheme val="minor"/>
    </font>
    <font>
      <sz val="10"/>
      <color rgb="FFFF00FF"/>
      <name val="돋움"/>
      <family val="3"/>
      <charset val="129"/>
    </font>
    <font>
      <sz val="11"/>
      <color rgb="FFFF00FF"/>
      <name val="함초롬바탕"/>
      <family val="1"/>
      <charset val="129"/>
    </font>
    <font>
      <sz val="12"/>
      <name val="맑은 고딕"/>
      <family val="3"/>
      <charset val="129"/>
      <scheme val="minor"/>
    </font>
    <font>
      <b/>
      <sz val="22"/>
      <name val="함초롬바탕"/>
      <family val="1"/>
      <charset val="129"/>
    </font>
    <font>
      <b/>
      <u/>
      <sz val="12"/>
      <name val="맑은 고딕"/>
      <family val="3"/>
      <charset val="129"/>
    </font>
    <font>
      <b/>
      <sz val="18"/>
      <name val="맑은 고딕"/>
      <family val="3"/>
      <charset val="129"/>
    </font>
    <font>
      <i/>
      <sz val="11"/>
      <color rgb="FF000000"/>
      <name val="휴먼명조"/>
      <family val="3"/>
      <charset val="129"/>
    </font>
    <font>
      <b/>
      <i/>
      <sz val="10"/>
      <color rgb="FF0000FF"/>
      <name val="맑은 고딕"/>
      <family val="3"/>
      <charset val="129"/>
      <scheme val="minor"/>
    </font>
    <font>
      <sz val="10"/>
      <color rgb="FF000000"/>
      <name val="맑은 고딕"/>
      <family val="3"/>
      <charset val="129"/>
    </font>
    <font>
      <sz val="9"/>
      <color rgb="FF0000FF"/>
      <name val="맑은 고딕"/>
      <family val="3"/>
      <charset val="129"/>
    </font>
    <font>
      <b/>
      <sz val="22"/>
      <color rgb="FF000000"/>
      <name val="맑은 고딕"/>
      <family val="3"/>
      <charset val="129"/>
    </font>
    <font>
      <b/>
      <sz val="18"/>
      <name val="맑은 고딕"/>
      <family val="3"/>
      <charset val="129"/>
      <scheme val="minor"/>
    </font>
    <font>
      <sz val="10"/>
      <name val="Segoe UI Symbol"/>
      <family val="2"/>
    </font>
    <font>
      <sz val="10"/>
      <name val="Segoe UI Symbol"/>
      <family val="3"/>
    </font>
    <font>
      <sz val="11"/>
      <color theme="0" tint="-0.249977111117893"/>
      <name val="맑은 고딕"/>
      <family val="3"/>
      <charset val="129"/>
      <scheme val="minor"/>
    </font>
    <font>
      <sz val="10"/>
      <color rgb="FFFF0000"/>
      <name val="맑은 고딕"/>
      <family val="3"/>
      <charset val="129"/>
      <scheme val="minor"/>
    </font>
    <font>
      <u/>
      <sz val="10"/>
      <color rgb="FF0000FF"/>
      <name val="맑은 고딕"/>
      <family val="3"/>
      <charset val="129"/>
    </font>
    <font>
      <u/>
      <sz val="12"/>
      <color rgb="FF0000FF"/>
      <name val="맑은 고딕"/>
      <family val="3"/>
      <charset val="129"/>
      <scheme val="minor"/>
    </font>
    <font>
      <u/>
      <sz val="10"/>
      <color rgb="FF0000FF"/>
      <name val="맑은 고딕"/>
      <family val="3"/>
      <charset val="129"/>
      <scheme val="minor"/>
    </font>
    <font>
      <u/>
      <sz val="11"/>
      <color rgb="FF0000FF"/>
      <name val="맑은 고딕"/>
      <family val="3"/>
      <charset val="129"/>
      <scheme val="minor"/>
    </font>
    <font>
      <b/>
      <strike/>
      <sz val="11"/>
      <color rgb="FF000000"/>
      <name val="맑은 고딕"/>
      <family val="3"/>
      <charset val="129"/>
      <scheme val="minor"/>
    </font>
    <font>
      <u/>
      <sz val="9"/>
      <color rgb="FF0000FF"/>
      <name val="맑은 고딕"/>
      <family val="3"/>
      <charset val="129"/>
      <scheme val="minor"/>
    </font>
    <font>
      <u/>
      <sz val="11"/>
      <color theme="0"/>
      <name val="맑은 고딕"/>
      <family val="2"/>
      <charset val="129"/>
      <scheme val="minor"/>
    </font>
    <font>
      <u/>
      <sz val="11"/>
      <color theme="0"/>
      <name val="맑은 고딕"/>
      <family val="3"/>
      <charset val="129"/>
      <scheme val="minor"/>
    </font>
    <font>
      <sz val="11"/>
      <color rgb="FFFF0000"/>
      <name val="맑은 고딕"/>
      <family val="3"/>
      <charset val="129"/>
    </font>
    <font>
      <b/>
      <u val="double"/>
      <sz val="17"/>
      <color rgb="FF000000"/>
      <name val="HY헤드라인M"/>
      <family val="1"/>
      <charset val="129"/>
    </font>
    <font>
      <sz val="10"/>
      <color theme="1"/>
      <name val="Tahoma"/>
      <family val="2"/>
      <charset val="1"/>
    </font>
    <font>
      <sz val="11"/>
      <color theme="1"/>
      <name val="맑은 고딕"/>
      <family val="3"/>
      <charset val="129"/>
    </font>
    <font>
      <sz val="9.9"/>
      <color theme="1"/>
      <name val="맑은 고딕"/>
      <family val="3"/>
      <charset val="129"/>
    </font>
    <font>
      <b/>
      <sz val="11"/>
      <color rgb="FF0000FF"/>
      <name val="나눔고딕"/>
      <family val="3"/>
      <charset val="129"/>
    </font>
    <font>
      <b/>
      <sz val="9.35"/>
      <color rgb="FF0000FF"/>
      <name val="맑은 고딕"/>
      <family val="3"/>
      <charset val="129"/>
    </font>
    <font>
      <b/>
      <sz val="11"/>
      <color rgb="FF00B050"/>
      <name val="맑은 고딕"/>
      <family val="3"/>
      <charset val="129"/>
      <scheme val="minor"/>
    </font>
    <font>
      <b/>
      <sz val="12"/>
      <color rgb="FF0000FF"/>
      <name val="맑은 고딕"/>
      <family val="3"/>
      <charset val="129"/>
    </font>
    <font>
      <b/>
      <sz val="11"/>
      <color rgb="FFCC00CC"/>
      <name val="맑은 고딕"/>
      <family val="3"/>
      <charset val="129"/>
      <scheme val="minor"/>
    </font>
    <font>
      <sz val="11"/>
      <color rgb="FFCC00CC"/>
      <name val="맑은 고딕"/>
      <family val="3"/>
      <charset val="129"/>
      <scheme val="minor"/>
    </font>
    <font>
      <b/>
      <sz val="9"/>
      <color rgb="FF0000FF"/>
      <name val="맑은 고딕"/>
      <family val="3"/>
      <charset val="129"/>
    </font>
    <font>
      <b/>
      <u/>
      <sz val="9"/>
      <color rgb="FF0000FF"/>
      <name val="맑은 고딕"/>
      <family val="3"/>
      <charset val="129"/>
    </font>
    <font>
      <sz val="8"/>
      <color theme="0" tint="-0.499984740745262"/>
      <name val="맑은 고딕"/>
      <family val="3"/>
      <charset val="129"/>
      <scheme val="minor"/>
    </font>
    <font>
      <b/>
      <sz val="6"/>
      <color theme="0" tint="-0.499984740745262"/>
      <name val="맑은 고딕"/>
      <family val="3"/>
      <charset val="129"/>
      <scheme val="minor"/>
    </font>
    <font>
      <sz val="9"/>
      <color rgb="FF000000"/>
      <name val="Segoe UI Symbol"/>
      <family val="2"/>
    </font>
    <font>
      <sz val="9"/>
      <color rgb="FF000000"/>
      <name val="Calibri"/>
      <family val="3"/>
    </font>
    <font>
      <sz val="9"/>
      <color rgb="FF000000"/>
      <name val="맑은 고딕"/>
      <family val="2"/>
      <charset val="129"/>
      <scheme val="minor"/>
    </font>
    <font>
      <sz val="9"/>
      <color rgb="FF000000"/>
      <name val="Segoe UI Symbol"/>
      <family val="3"/>
    </font>
    <font>
      <sz val="8"/>
      <color theme="1"/>
      <name val="맑은 고딕"/>
      <family val="3"/>
      <charset val="129"/>
      <scheme val="minor"/>
    </font>
    <font>
      <b/>
      <sz val="8"/>
      <color theme="1"/>
      <name val="맑은 고딕"/>
      <family val="3"/>
      <charset val="129"/>
      <scheme val="minor"/>
    </font>
    <font>
      <b/>
      <u/>
      <sz val="9"/>
      <color theme="1"/>
      <name val="맑은 고딕"/>
      <family val="3"/>
      <charset val="129"/>
      <scheme val="minor"/>
    </font>
    <font>
      <b/>
      <sz val="9"/>
      <color theme="1"/>
      <name val="맑은 고딕"/>
      <family val="3"/>
      <charset val="129"/>
      <scheme val="minor"/>
    </font>
    <font>
      <sz val="8"/>
      <color rgb="FF000000"/>
      <name val="맑은 고딕"/>
      <family val="3"/>
      <charset val="129"/>
    </font>
    <font>
      <sz val="10"/>
      <color theme="1"/>
      <name val="Tahoma"/>
      <family val="3"/>
      <charset val="1"/>
    </font>
    <font>
      <u/>
      <sz val="11"/>
      <name val="맑은 고딕"/>
      <family val="3"/>
      <charset val="129"/>
      <scheme val="minor"/>
    </font>
    <font>
      <b/>
      <u/>
      <sz val="11"/>
      <name val="맑은 고딕"/>
      <family val="3"/>
      <charset val="129"/>
      <scheme val="minor"/>
    </font>
    <font>
      <b/>
      <sz val="12"/>
      <color theme="2" tint="-0.749992370372631"/>
      <name val="맑은 고딕"/>
      <family val="3"/>
      <charset val="129"/>
      <scheme val="minor"/>
    </font>
    <font>
      <sz val="9"/>
      <color rgb="FF000000"/>
      <name val="Malgun Gothic"/>
      <family val="3"/>
      <charset val="129"/>
    </font>
  </fonts>
  <fills count="25">
    <fill>
      <patternFill patternType="none"/>
    </fill>
    <fill>
      <patternFill patternType="gray125"/>
    </fill>
    <fill>
      <patternFill patternType="solid">
        <fgColor theme="8"/>
      </patternFill>
    </fill>
    <fill>
      <patternFill patternType="solid">
        <fgColor theme="8" tint="0.79998168889431442"/>
        <bgColor indexed="65"/>
      </patternFill>
    </fill>
    <fill>
      <patternFill patternType="solid">
        <fgColor theme="8" tint="0.39997558519241921"/>
        <bgColor indexed="65"/>
      </patternFill>
    </fill>
    <fill>
      <patternFill patternType="solid">
        <fgColor theme="6" tint="0.79998168889431442"/>
        <bgColor indexed="64"/>
      </patternFill>
    </fill>
    <fill>
      <patternFill patternType="solid">
        <fgColor rgb="FFFFFFCC"/>
      </patternFill>
    </fill>
    <fill>
      <patternFill patternType="solid">
        <fgColor theme="4" tint="0.59999389629810485"/>
        <bgColor indexed="65"/>
      </patternFill>
    </fill>
    <fill>
      <patternFill patternType="solid">
        <fgColor theme="4" tint="-0.249977111117893"/>
        <bgColor indexed="64"/>
      </patternFill>
    </fill>
    <fill>
      <patternFill patternType="solid">
        <fgColor rgb="FFFFFFFF"/>
        <bgColor indexed="64"/>
      </patternFill>
    </fill>
    <fill>
      <patternFill patternType="solid">
        <fgColor theme="4" tint="0.79998168889431442"/>
        <bgColor indexed="64"/>
      </patternFill>
    </fill>
    <fill>
      <patternFill patternType="solid">
        <fgColor theme="8" tint="-0.499984740745262"/>
        <bgColor indexed="64"/>
      </patternFill>
    </fill>
    <fill>
      <patternFill patternType="solid">
        <fgColor theme="0"/>
        <bgColor indexed="64"/>
      </patternFill>
    </fill>
    <fill>
      <patternFill patternType="solid">
        <fgColor rgb="FFB2B2B2"/>
        <bgColor indexed="64"/>
      </patternFill>
    </fill>
    <fill>
      <patternFill patternType="solid">
        <fgColor rgb="FFFAEDD2"/>
        <bgColor indexed="64"/>
      </patternFill>
    </fill>
    <fill>
      <patternFill patternType="solid">
        <fgColor theme="5" tint="0.79998168889431442"/>
        <bgColor indexed="64"/>
      </patternFill>
    </fill>
    <fill>
      <patternFill patternType="solid">
        <fgColor them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F2F2F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tint="-0.34998626667073579"/>
        <bgColor indexed="64"/>
      </patternFill>
    </fill>
    <fill>
      <patternFill patternType="solid">
        <fgColor theme="4"/>
        <bgColor indexed="64"/>
      </patternFill>
    </fill>
    <fill>
      <patternFill patternType="solid">
        <fgColor rgb="FFE6EBF6"/>
        <bgColor indexed="64"/>
      </patternFill>
    </fill>
  </fills>
  <borders count="233">
    <border>
      <left/>
      <right/>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diagonal/>
    </border>
    <border>
      <left/>
      <right/>
      <top style="thin">
        <color auto="1"/>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hair">
        <color theme="0" tint="-0.499984740745262"/>
      </bottom>
      <diagonal/>
    </border>
    <border>
      <left style="thin">
        <color theme="0" tint="-0.499984740745262"/>
      </left>
      <right style="thin">
        <color theme="0" tint="-0.499984740745262"/>
      </right>
      <top style="hair">
        <color theme="0" tint="-0.499984740745262"/>
      </top>
      <bottom style="hair">
        <color theme="0" tint="-0.499984740745262"/>
      </bottom>
      <diagonal/>
    </border>
    <border>
      <left style="thin">
        <color theme="0" tint="-0.499984740745262"/>
      </left>
      <right style="thin">
        <color theme="0" tint="-0.499984740745262"/>
      </right>
      <top style="hair">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style="thin">
        <color rgb="FF969696"/>
      </left>
      <right style="thin">
        <color rgb="FF969696"/>
      </right>
      <top style="thin">
        <color rgb="FF969696"/>
      </top>
      <bottom style="thin">
        <color rgb="FF969696"/>
      </bottom>
      <diagonal/>
    </border>
    <border>
      <left style="thin">
        <color rgb="FF969696"/>
      </left>
      <right style="hair">
        <color rgb="FF969696"/>
      </right>
      <top style="thin">
        <color rgb="FF969696"/>
      </top>
      <bottom style="hair">
        <color rgb="FF969696"/>
      </bottom>
      <diagonal/>
    </border>
    <border>
      <left style="hair">
        <color rgb="FF969696"/>
      </left>
      <right style="hair">
        <color rgb="FF969696"/>
      </right>
      <top style="thin">
        <color rgb="FF969696"/>
      </top>
      <bottom style="hair">
        <color rgb="FF969696"/>
      </bottom>
      <diagonal/>
    </border>
    <border>
      <left style="thin">
        <color rgb="FF969696"/>
      </left>
      <right style="thin">
        <color rgb="FF969696"/>
      </right>
      <top style="thin">
        <color rgb="FF969696"/>
      </top>
      <bottom/>
      <diagonal/>
    </border>
    <border>
      <left style="thin">
        <color rgb="FF969696"/>
      </left>
      <right style="hair">
        <color rgb="FF969696"/>
      </right>
      <top style="hair">
        <color rgb="FF969696"/>
      </top>
      <bottom style="thin">
        <color rgb="FF969696"/>
      </bottom>
      <diagonal/>
    </border>
    <border>
      <left style="hair">
        <color rgb="FF969696"/>
      </left>
      <right style="hair">
        <color rgb="FF969696"/>
      </right>
      <top style="hair">
        <color rgb="FF969696"/>
      </top>
      <bottom style="thin">
        <color rgb="FF969696"/>
      </bottom>
      <diagonal/>
    </border>
    <border>
      <left style="thin">
        <color rgb="FF969696"/>
      </left>
      <right style="thin">
        <color rgb="FF969696"/>
      </right>
      <top/>
      <bottom style="thin">
        <color rgb="FF969696"/>
      </bottom>
      <diagonal/>
    </border>
    <border>
      <left style="thin">
        <color theme="0" tint="-0.499984740745262"/>
      </left>
      <right style="thin">
        <color theme="0" tint="-0.499984740745262"/>
      </right>
      <top style="thin">
        <color theme="0" tint="-0.499984740745262"/>
      </top>
      <bottom/>
      <diagonal/>
    </border>
    <border>
      <left style="thin">
        <color rgb="FF969696"/>
      </left>
      <right/>
      <top style="thin">
        <color rgb="FF969696"/>
      </top>
      <bottom style="thin">
        <color rgb="FF969696"/>
      </bottom>
      <diagonal/>
    </border>
    <border>
      <left/>
      <right style="thin">
        <color rgb="FF969696"/>
      </right>
      <top style="thin">
        <color rgb="FF969696"/>
      </top>
      <bottom style="thin">
        <color rgb="FF969696"/>
      </bottom>
      <diagonal/>
    </border>
    <border>
      <left/>
      <right/>
      <top/>
      <bottom style="thin">
        <color rgb="FF969696"/>
      </bottom>
      <diagonal/>
    </border>
    <border>
      <left style="thin">
        <color rgb="FF969696"/>
      </left>
      <right/>
      <top style="thin">
        <color rgb="FF969696"/>
      </top>
      <bottom/>
      <diagonal/>
    </border>
    <border>
      <left/>
      <right/>
      <top style="thin">
        <color rgb="FF969696"/>
      </top>
      <bottom/>
      <diagonal/>
    </border>
    <border>
      <left/>
      <right style="thin">
        <color rgb="FF969696"/>
      </right>
      <top style="thin">
        <color rgb="FF969696"/>
      </top>
      <bottom/>
      <diagonal/>
    </border>
    <border>
      <left style="hair">
        <color theme="0" tint="-0.499984740745262"/>
      </left>
      <right style="hair">
        <color theme="0" tint="-0.499984740745262"/>
      </right>
      <top style="thin">
        <color theme="0" tint="-0.499984740745262"/>
      </top>
      <bottom style="hair">
        <color theme="0" tint="-0.499984740745262"/>
      </bottom>
      <diagonal/>
    </border>
    <border>
      <left style="thin">
        <color rgb="FF969696"/>
      </left>
      <right/>
      <top/>
      <bottom/>
      <diagonal/>
    </border>
    <border>
      <left/>
      <right style="thin">
        <color rgb="FF969696"/>
      </right>
      <top/>
      <bottom/>
      <diagonal/>
    </border>
    <border>
      <left/>
      <right/>
      <top style="thin">
        <color rgb="FF969696"/>
      </top>
      <bottom style="thin">
        <color rgb="FF969696"/>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style="hair">
        <color theme="0" tint="-0.499984740745262"/>
      </right>
      <top style="hair">
        <color theme="0" tint="-0.499984740745262"/>
      </top>
      <bottom/>
      <diagonal/>
    </border>
    <border>
      <left style="thin">
        <color rgb="FF969696"/>
      </left>
      <right/>
      <top/>
      <bottom style="thin">
        <color rgb="FF969696"/>
      </bottom>
      <diagonal/>
    </border>
    <border>
      <left/>
      <right style="thin">
        <color rgb="FF969696"/>
      </right>
      <top/>
      <bottom style="thin">
        <color rgb="FF969696"/>
      </bottom>
      <diagonal/>
    </border>
    <border>
      <left style="thin">
        <color theme="0" tint="-0.499984740745262"/>
      </left>
      <right style="thin">
        <color theme="0" tint="-0.499984740745262"/>
      </right>
      <top/>
      <bottom style="thin">
        <color theme="0" tint="-0.499984740745262"/>
      </bottom>
      <diagonal/>
    </border>
    <border>
      <left style="thin">
        <color rgb="FF969696"/>
      </left>
      <right/>
      <top style="thin">
        <color theme="0" tint="-0.499984740745262"/>
      </top>
      <bottom style="thin">
        <color theme="0" tint="-0.499984740745262"/>
      </bottom>
      <diagonal/>
    </border>
    <border>
      <left/>
      <right style="thin">
        <color rgb="FF969696"/>
      </right>
      <top style="thin">
        <color theme="0" tint="-0.499984740745262"/>
      </top>
      <bottom style="thin">
        <color theme="0"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dashed">
        <color indexed="64"/>
      </left>
      <right style="dashed">
        <color indexed="64"/>
      </right>
      <top style="dashed">
        <color indexed="64"/>
      </top>
      <bottom style="dashed">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indexed="64"/>
      </left>
      <right/>
      <top/>
      <bottom/>
      <diagonal/>
    </border>
    <border>
      <left/>
      <right style="dotted">
        <color indexed="64"/>
      </right>
      <top/>
      <bottom/>
      <diagonal/>
    </border>
    <border>
      <left style="dotted">
        <color auto="1"/>
      </left>
      <right/>
      <top/>
      <bottom style="dotted">
        <color auto="1"/>
      </bottom>
      <diagonal/>
    </border>
    <border>
      <left/>
      <right/>
      <top/>
      <bottom style="dotted">
        <color indexed="64"/>
      </bottom>
      <diagonal/>
    </border>
    <border>
      <left/>
      <right style="dotted">
        <color auto="1"/>
      </right>
      <top/>
      <bottom style="dotted">
        <color auto="1"/>
      </bottom>
      <diagonal/>
    </border>
    <border>
      <left/>
      <right/>
      <top/>
      <bottom style="thin">
        <color theme="0" tint="-0.2499465926084170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right style="thin">
        <color theme="0" tint="-0.499984740745262"/>
      </right>
      <top/>
      <bottom style="thin">
        <color indexed="64"/>
      </bottom>
      <diagonal/>
    </border>
    <border>
      <left style="thin">
        <color theme="0" tint="-0.24994659260841701"/>
      </left>
      <right style="thin">
        <color rgb="FF969696"/>
      </right>
      <top style="thin">
        <color rgb="FF969696"/>
      </top>
      <bottom style="thin">
        <color rgb="FF969696"/>
      </bottom>
      <diagonal/>
    </border>
    <border>
      <left style="hair">
        <color rgb="FF969696"/>
      </left>
      <right style="thin">
        <color theme="0" tint="-0.24994659260841701"/>
      </right>
      <top style="thin">
        <color rgb="FF969696"/>
      </top>
      <bottom style="hair">
        <color rgb="FF969696"/>
      </bottom>
      <diagonal/>
    </border>
    <border>
      <left style="hair">
        <color rgb="FF969696"/>
      </left>
      <right style="thin">
        <color theme="0" tint="-0.24994659260841701"/>
      </right>
      <top style="hair">
        <color rgb="FF969696"/>
      </top>
      <bottom style="thin">
        <color rgb="FF969696"/>
      </bottom>
      <diagonal/>
    </border>
    <border>
      <left style="thin">
        <color rgb="FF969696"/>
      </left>
      <right style="thin">
        <color theme="0" tint="-0.24994659260841701"/>
      </right>
      <top style="thin">
        <color rgb="FF969696"/>
      </top>
      <bottom style="thin">
        <color rgb="FF969696"/>
      </bottom>
      <diagonal/>
    </border>
    <border>
      <left style="thin">
        <color theme="0" tint="-0.24994659260841701"/>
      </left>
      <right/>
      <top/>
      <bottom style="thin">
        <color theme="0" tint="-0.499984740745262"/>
      </bottom>
      <diagonal/>
    </border>
    <border>
      <left/>
      <right style="thin">
        <color theme="0" tint="-0.24994659260841701"/>
      </right>
      <top/>
      <bottom style="thin">
        <color theme="0" tint="-0.499984740745262"/>
      </bottom>
      <diagonal/>
    </border>
    <border>
      <left style="thin">
        <color theme="0" tint="-0.24994659260841701"/>
      </left>
      <right style="hair">
        <color theme="0" tint="-0.499984740745262"/>
      </right>
      <top style="thin">
        <color theme="0" tint="-0.499984740745262"/>
      </top>
      <bottom style="hair">
        <color theme="0" tint="-0.499984740745262"/>
      </bottom>
      <diagonal/>
    </border>
    <border>
      <left style="hair">
        <color theme="0" tint="-0.499984740745262"/>
      </left>
      <right style="thin">
        <color theme="0" tint="-0.24994659260841701"/>
      </right>
      <top style="thin">
        <color theme="0" tint="-0.499984740745262"/>
      </top>
      <bottom style="hair">
        <color theme="0" tint="-0.499984740745262"/>
      </bottom>
      <diagonal/>
    </border>
    <border>
      <left style="thin">
        <color theme="0" tint="-0.24994659260841701"/>
      </left>
      <right style="hair">
        <color theme="0" tint="-0.499984740745262"/>
      </right>
      <top style="hair">
        <color theme="0" tint="-0.499984740745262"/>
      </top>
      <bottom style="hair">
        <color theme="0" tint="-0.499984740745262"/>
      </bottom>
      <diagonal/>
    </border>
    <border>
      <left style="hair">
        <color theme="0" tint="-0.499984740745262"/>
      </left>
      <right style="thin">
        <color theme="0" tint="-0.24994659260841701"/>
      </right>
      <top style="hair">
        <color theme="0" tint="-0.499984740745262"/>
      </top>
      <bottom style="hair">
        <color theme="0" tint="-0.499984740745262"/>
      </bottom>
      <diagonal/>
    </border>
    <border>
      <left style="thin">
        <color theme="0" tint="-0.24994659260841701"/>
      </left>
      <right style="hair">
        <color theme="0" tint="-0.499984740745262"/>
      </right>
      <top/>
      <bottom style="hair">
        <color theme="0" tint="-0.499984740745262"/>
      </bottom>
      <diagonal/>
    </border>
    <border>
      <left style="hair">
        <color theme="0" tint="-0.499984740745262"/>
      </left>
      <right style="thin">
        <color theme="0" tint="-0.24994659260841701"/>
      </right>
      <top/>
      <bottom style="hair">
        <color theme="0" tint="-0.499984740745262"/>
      </bottom>
      <diagonal/>
    </border>
    <border>
      <left style="thin">
        <color theme="0" tint="-0.24994659260841701"/>
      </left>
      <right style="hair">
        <color theme="0" tint="-0.499984740745262"/>
      </right>
      <top style="hair">
        <color theme="0" tint="-0.499984740745262"/>
      </top>
      <bottom/>
      <diagonal/>
    </border>
    <border>
      <left style="hair">
        <color theme="0" tint="-0.499984740745262"/>
      </left>
      <right style="thin">
        <color theme="0" tint="-0.24994659260841701"/>
      </right>
      <top style="hair">
        <color theme="0" tint="-0.499984740745262"/>
      </top>
      <bottom/>
      <diagonal/>
    </border>
    <border>
      <left style="thin">
        <color theme="0" tint="-0.24994659260841701"/>
      </left>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24994659260841701"/>
      </left>
      <right/>
      <top style="thin">
        <color theme="0" tint="-0.499984740745262"/>
      </top>
      <bottom/>
      <diagonal/>
    </border>
    <border>
      <left/>
      <right style="thin">
        <color theme="0" tint="-0.24994659260841701"/>
      </right>
      <top style="thin">
        <color theme="0" tint="-0.499984740745262"/>
      </top>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dotted">
        <color rgb="FF0000FF"/>
      </left>
      <right/>
      <top style="dotted">
        <color rgb="FF0000FF"/>
      </top>
      <bottom/>
      <diagonal/>
    </border>
    <border>
      <left/>
      <right/>
      <top style="dotted">
        <color rgb="FF0000FF"/>
      </top>
      <bottom/>
      <diagonal/>
    </border>
    <border>
      <left/>
      <right style="dotted">
        <color rgb="FF0000FF"/>
      </right>
      <top style="dotted">
        <color rgb="FF0000FF"/>
      </top>
      <bottom/>
      <diagonal/>
    </border>
    <border>
      <left style="thin">
        <color indexed="64"/>
      </left>
      <right style="thin">
        <color indexed="64"/>
      </right>
      <top style="thin">
        <color indexed="64"/>
      </top>
      <bottom/>
      <diagonal/>
    </border>
    <border>
      <left style="dotted">
        <color rgb="FF0000FF"/>
      </left>
      <right/>
      <top/>
      <bottom/>
      <diagonal/>
    </border>
    <border>
      <left/>
      <right style="dotted">
        <color rgb="FF0000FF"/>
      </right>
      <top/>
      <bottom/>
      <diagonal/>
    </border>
    <border>
      <left style="thin">
        <color indexed="64"/>
      </left>
      <right style="thin">
        <color indexed="64"/>
      </right>
      <top/>
      <bottom style="thin">
        <color indexed="64"/>
      </bottom>
      <diagonal/>
    </border>
    <border>
      <left style="dotted">
        <color rgb="FF0000FF"/>
      </left>
      <right/>
      <top/>
      <bottom style="dotted">
        <color rgb="FF0000FF"/>
      </bottom>
      <diagonal/>
    </border>
    <border>
      <left/>
      <right/>
      <top/>
      <bottom style="dotted">
        <color rgb="FF0000FF"/>
      </bottom>
      <diagonal/>
    </border>
    <border>
      <left/>
      <right style="dotted">
        <color rgb="FF0000FF"/>
      </right>
      <top/>
      <bottom style="dotted">
        <color rgb="FF0000FF"/>
      </bottom>
      <diagonal/>
    </border>
    <border diagonalUp="1">
      <left style="thin">
        <color indexed="64"/>
      </left>
      <right/>
      <top style="thin">
        <color indexed="64"/>
      </top>
      <bottom style="thin">
        <color indexed="64"/>
      </bottom>
      <diagonal style="thin">
        <color theme="0" tint="-0.499984740745262"/>
      </diagonal>
    </border>
    <border diagonalUp="1">
      <left/>
      <right/>
      <top style="thin">
        <color indexed="64"/>
      </top>
      <bottom style="thin">
        <color indexed="64"/>
      </bottom>
      <diagonal style="thin">
        <color theme="0" tint="-0.499984740745262"/>
      </diagonal>
    </border>
    <border diagonalUp="1">
      <left/>
      <right style="thin">
        <color indexed="64"/>
      </right>
      <top style="thin">
        <color indexed="64"/>
      </top>
      <bottom style="thin">
        <color indexed="64"/>
      </bottom>
      <diagonal style="thin">
        <color theme="0" tint="-0.499984740745262"/>
      </diagonal>
    </border>
    <border diagonalUp="1">
      <left style="thin">
        <color indexed="64"/>
      </left>
      <right/>
      <top style="thin">
        <color indexed="64"/>
      </top>
      <bottom style="thin">
        <color indexed="64"/>
      </bottom>
      <diagonal style="thin">
        <color indexed="64"/>
      </diagonal>
    </border>
    <border diagonalUp="1">
      <left/>
      <right/>
      <top style="thin">
        <color indexed="64"/>
      </top>
      <bottom style="thin">
        <color indexed="64"/>
      </bottom>
      <diagonal style="thin">
        <color indexed="64"/>
      </diagonal>
    </border>
    <border diagonalUp="1">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style="thin">
        <color theme="0" tint="-0.499984740745262"/>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hair">
        <color auto="1"/>
      </left>
      <right style="hair">
        <color auto="1"/>
      </right>
      <top style="thin">
        <color auto="1"/>
      </top>
      <bottom/>
      <diagonal/>
    </border>
    <border>
      <left style="hair">
        <color auto="1"/>
      </left>
      <right style="hair">
        <color auto="1"/>
      </right>
      <top/>
      <bottom style="hair">
        <color auto="1"/>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indexed="64"/>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style="thin">
        <color rgb="FF969696"/>
      </left>
      <right/>
      <top/>
      <bottom style="thin">
        <color theme="0" tint="-0.499984740745262"/>
      </bottom>
      <diagonal/>
    </border>
    <border>
      <left/>
      <right style="thin">
        <color rgb="FF969696"/>
      </right>
      <top/>
      <bottom style="thin">
        <color theme="0" tint="-0.499984740745262"/>
      </bottom>
      <diagonal/>
    </border>
    <border>
      <left style="thin">
        <color theme="0" tint="-0.249977111117893"/>
      </left>
      <right/>
      <top/>
      <bottom style="thin">
        <color theme="0" tint="-0.24994659260841701"/>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medium">
        <color theme="0" tint="-0.34998626667073579"/>
      </left>
      <right style="thin">
        <color theme="0" tint="-0.34998626667073579"/>
      </right>
      <top style="medium">
        <color theme="0" tint="-0.34998626667073579"/>
      </top>
      <bottom style="thin">
        <color theme="0" tint="-0.34998626667073579"/>
      </bottom>
      <diagonal/>
    </border>
    <border>
      <left style="thin">
        <color theme="0" tint="-0.34998626667073579"/>
      </left>
      <right style="thin">
        <color theme="0" tint="-0.34998626667073579"/>
      </right>
      <top style="medium">
        <color theme="0" tint="-0.34998626667073579"/>
      </top>
      <bottom style="thin">
        <color theme="0" tint="-0.34998626667073579"/>
      </bottom>
      <diagonal/>
    </border>
    <border>
      <left style="thin">
        <color theme="0" tint="-0.34998626667073579"/>
      </left>
      <right style="medium">
        <color theme="0" tint="-0.34998626667073579"/>
      </right>
      <top style="medium">
        <color theme="0" tint="-0.34998626667073579"/>
      </top>
      <bottom style="thin">
        <color theme="0" tint="-0.34998626667073579"/>
      </bottom>
      <diagonal/>
    </border>
    <border>
      <left style="medium">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theme="0" tint="-0.34998626667073579"/>
      </right>
      <top style="thin">
        <color theme="0" tint="-0.34998626667073579"/>
      </top>
      <bottom style="thin">
        <color theme="0" tint="-0.34998626667073579"/>
      </bottom>
      <diagonal/>
    </border>
    <border>
      <left/>
      <right style="medium">
        <color theme="0" tint="-0.34998626667073579"/>
      </right>
      <top style="thin">
        <color theme="0" tint="-0.34998626667073579"/>
      </top>
      <bottom/>
      <diagonal/>
    </border>
    <border>
      <left/>
      <right style="medium">
        <color theme="0" tint="-0.34998626667073579"/>
      </right>
      <top/>
      <bottom style="thin">
        <color theme="0" tint="-0.34998626667073579"/>
      </bottom>
      <diagonal/>
    </border>
    <border>
      <left style="medium">
        <color theme="0" tint="-0.34998626667073579"/>
      </left>
      <right/>
      <top/>
      <bottom/>
      <diagonal/>
    </border>
    <border>
      <left/>
      <right style="medium">
        <color theme="0" tint="-0.34998626667073579"/>
      </right>
      <top/>
      <bottom/>
      <diagonal/>
    </border>
    <border>
      <left style="medium">
        <color theme="0" tint="-0.34998626667073579"/>
      </left>
      <right/>
      <top/>
      <bottom style="thin">
        <color rgb="FFB2B2B2"/>
      </bottom>
      <diagonal/>
    </border>
    <border>
      <left style="medium">
        <color theme="0" tint="-0.34998626667073579"/>
      </left>
      <right/>
      <top style="thin">
        <color rgb="FFB2B2B2"/>
      </top>
      <bottom/>
      <diagonal/>
    </border>
    <border>
      <left/>
      <right style="medium">
        <color theme="0" tint="-0.34998626667073579"/>
      </right>
      <top style="thin">
        <color theme="0" tint="-0.34998626667073579"/>
      </top>
      <bottom style="thin">
        <color theme="0" tint="-0.34998626667073579"/>
      </bottom>
      <diagonal/>
    </border>
    <border>
      <left style="medium">
        <color theme="0" tint="-0.34998626667073579"/>
      </left>
      <right/>
      <top/>
      <bottom style="thick">
        <color rgb="FFB2B2B2"/>
      </bottom>
      <diagonal/>
    </border>
    <border>
      <left style="medium">
        <color theme="0" tint="-0.34998626667073579"/>
      </left>
      <right/>
      <top style="thick">
        <color rgb="FFB2B2B2"/>
      </top>
      <bottom/>
      <diagonal/>
    </border>
    <border>
      <left style="medium">
        <color theme="0" tint="-0.34998626667073579"/>
      </left>
      <right style="thin">
        <color theme="0" tint="-0.34998626667073579"/>
      </right>
      <top style="thin">
        <color theme="0" tint="-0.34998626667073579"/>
      </top>
      <bottom style="medium">
        <color theme="0" tint="-0.34998626667073579"/>
      </bottom>
      <diagonal/>
    </border>
    <border>
      <left style="thin">
        <color theme="0" tint="-0.34998626667073579"/>
      </left>
      <right style="thin">
        <color theme="0" tint="-0.34998626667073579"/>
      </right>
      <top style="thin">
        <color theme="0" tint="-0.34998626667073579"/>
      </top>
      <bottom style="medium">
        <color theme="0" tint="-0.34998626667073579"/>
      </bottom>
      <diagonal/>
    </border>
    <border>
      <left style="thin">
        <color theme="0" tint="-0.34998626667073579"/>
      </left>
      <right style="medium">
        <color theme="0" tint="-0.34998626667073579"/>
      </right>
      <top style="thin">
        <color theme="0" tint="-0.34998626667073579"/>
      </top>
      <bottom style="medium">
        <color theme="0" tint="-0.34998626667073579"/>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top style="thin">
        <color indexed="64"/>
      </top>
      <bottom style="medium">
        <color indexed="64"/>
      </bottom>
      <diagonal/>
    </border>
  </borders>
  <cellStyleXfs count="15">
    <xf numFmtId="0" fontId="0" fillId="0" borderId="0">
      <alignment vertical="center"/>
    </xf>
    <xf numFmtId="0" fontId="2"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0" fillId="0" borderId="0" applyNumberFormat="0" applyFill="0" applyBorder="0" applyAlignment="0" applyProtection="0">
      <alignment vertical="center"/>
    </xf>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6" borderId="9" applyNumberFormat="0" applyFont="0" applyAlignment="0" applyProtection="0">
      <alignment vertical="center"/>
    </xf>
    <xf numFmtId="0" fontId="1" fillId="7" borderId="0" applyNumberFormat="0" applyBorder="0" applyAlignment="0" applyProtection="0">
      <alignment vertical="center"/>
    </xf>
    <xf numFmtId="41" fontId="42" fillId="0" borderId="0" applyFont="0" applyFill="0" applyBorder="0" applyAlignment="0" applyProtection="0">
      <alignment vertical="center"/>
    </xf>
    <xf numFmtId="0" fontId="9" fillId="0" borderId="0">
      <alignment vertical="center"/>
    </xf>
    <xf numFmtId="41" fontId="9" fillId="0" borderId="0" applyFont="0" applyFill="0" applyBorder="0" applyAlignment="0" applyProtection="0">
      <alignment vertical="center"/>
    </xf>
    <xf numFmtId="0" fontId="68" fillId="0" borderId="0">
      <alignment vertical="center"/>
    </xf>
    <xf numFmtId="9" fontId="9" fillId="0" borderId="0" applyFont="0" applyFill="0" applyBorder="0" applyAlignment="0" applyProtection="0">
      <alignment vertical="center"/>
    </xf>
    <xf numFmtId="42" fontId="1" fillId="0" borderId="0" applyFont="0" applyFill="0" applyBorder="0" applyAlignment="0" applyProtection="0">
      <alignment vertical="center"/>
    </xf>
  </cellStyleXfs>
  <cellXfs count="1409">
    <xf numFmtId="0" fontId="0" fillId="0" borderId="0" xfId="0">
      <alignment vertical="center"/>
    </xf>
    <xf numFmtId="0" fontId="9" fillId="0" borderId="0" xfId="0" applyFont="1" applyAlignment="1">
      <alignment horizontal="left" vertical="center" wrapText="1"/>
    </xf>
    <xf numFmtId="0" fontId="9" fillId="0" borderId="0" xfId="0" applyFont="1" applyAlignment="1">
      <alignment vertical="center" wrapText="1"/>
    </xf>
    <xf numFmtId="0" fontId="14" fillId="0" borderId="0" xfId="0" applyFont="1">
      <alignment vertical="center"/>
    </xf>
    <xf numFmtId="0" fontId="9" fillId="0" borderId="0" xfId="0" applyFont="1">
      <alignment vertical="center"/>
    </xf>
    <xf numFmtId="0" fontId="16" fillId="0" borderId="0" xfId="0" applyFont="1" applyAlignment="1">
      <alignment vertical="center" wrapText="1"/>
    </xf>
    <xf numFmtId="0" fontId="17" fillId="0" borderId="0" xfId="0" applyFont="1" applyAlignment="1">
      <alignment vertical="center" wrapText="1"/>
    </xf>
    <xf numFmtId="0" fontId="17" fillId="0" borderId="0" xfId="0" applyFont="1">
      <alignment vertical="center"/>
    </xf>
    <xf numFmtId="0" fontId="0" fillId="0" borderId="15" xfId="0" applyBorder="1">
      <alignment vertical="center"/>
    </xf>
    <xf numFmtId="0" fontId="0" fillId="0" borderId="30" xfId="0" applyBorder="1">
      <alignment vertical="center"/>
    </xf>
    <xf numFmtId="0" fontId="0" fillId="0" borderId="31" xfId="0" applyBorder="1">
      <alignment vertical="center"/>
    </xf>
    <xf numFmtId="0" fontId="22" fillId="0" borderId="0" xfId="0" applyFont="1">
      <alignment vertical="center"/>
    </xf>
    <xf numFmtId="0" fontId="24" fillId="0" borderId="0" xfId="0" applyFont="1" applyAlignment="1">
      <alignment horizontal="right" vertical="center" wrapText="1"/>
    </xf>
    <xf numFmtId="0" fontId="24" fillId="0" borderId="31" xfId="0" applyFont="1" applyBorder="1">
      <alignment vertical="center"/>
    </xf>
    <xf numFmtId="0" fontId="24" fillId="0" borderId="0" xfId="0" applyFont="1">
      <alignment vertical="center"/>
    </xf>
    <xf numFmtId="49" fontId="25" fillId="0" borderId="0" xfId="0" applyNumberFormat="1" applyFont="1">
      <alignment vertical="center"/>
    </xf>
    <xf numFmtId="0" fontId="24" fillId="0" borderId="0" xfId="0" applyFont="1" applyAlignment="1">
      <alignment vertical="center" wrapText="1"/>
    </xf>
    <xf numFmtId="0" fontId="24" fillId="0" borderId="0" xfId="0" applyFont="1" applyAlignment="1">
      <alignment horizontal="left" vertical="center" wrapText="1"/>
    </xf>
    <xf numFmtId="0" fontId="28" fillId="0" borderId="0" xfId="0" applyFont="1" applyAlignment="1">
      <alignment horizontal="right" vertical="center"/>
    </xf>
    <xf numFmtId="0" fontId="28" fillId="0" borderId="0" xfId="0" applyFont="1">
      <alignment vertical="center"/>
    </xf>
    <xf numFmtId="0" fontId="27" fillId="0" borderId="0" xfId="0" applyFont="1">
      <alignment vertical="center"/>
    </xf>
    <xf numFmtId="0" fontId="30" fillId="0" borderId="0" xfId="0" applyFont="1">
      <alignment vertical="center"/>
    </xf>
    <xf numFmtId="0" fontId="0" fillId="0" borderId="34" xfId="0" applyBorder="1">
      <alignment vertical="center"/>
    </xf>
    <xf numFmtId="0" fontId="0" fillId="0" borderId="33" xfId="0" applyBorder="1">
      <alignment vertical="center"/>
    </xf>
    <xf numFmtId="0" fontId="9" fillId="0" borderId="0" xfId="0" applyFont="1" applyAlignment="1">
      <alignment horizontal="center" vertical="center"/>
    </xf>
    <xf numFmtId="0" fontId="15" fillId="0" borderId="0" xfId="0" applyFont="1" applyAlignment="1">
      <alignment horizontal="center" vertical="center" wrapText="1"/>
    </xf>
    <xf numFmtId="177" fontId="17" fillId="0" borderId="36" xfId="0" applyNumberFormat="1" applyFont="1" applyBorder="1" applyAlignment="1">
      <alignment horizontal="center" vertical="center" wrapText="1"/>
    </xf>
    <xf numFmtId="0" fontId="17" fillId="9" borderId="37" xfId="0" applyFont="1" applyFill="1" applyBorder="1" applyAlignment="1">
      <alignment horizontal="center" vertical="center" wrapText="1"/>
    </xf>
    <xf numFmtId="177" fontId="17" fillId="0" borderId="38" xfId="0" applyNumberFormat="1" applyFont="1" applyBorder="1" applyAlignment="1">
      <alignment horizontal="center" vertical="center" wrapText="1"/>
    </xf>
    <xf numFmtId="0" fontId="17" fillId="10" borderId="35" xfId="0" applyFont="1" applyFill="1" applyBorder="1" applyAlignment="1">
      <alignment horizontal="center" vertical="center" wrapText="1"/>
    </xf>
    <xf numFmtId="0" fontId="0" fillId="0" borderId="0" xfId="0" applyAlignment="1">
      <alignment horizontal="center" vertical="center"/>
    </xf>
    <xf numFmtId="0" fontId="9" fillId="0" borderId="41" xfId="0" applyFont="1" applyBorder="1">
      <alignment vertical="center"/>
    </xf>
    <xf numFmtId="49" fontId="6" fillId="0" borderId="0" xfId="0" applyNumberFormat="1" applyFont="1" applyAlignment="1">
      <alignment horizontal="center" vertical="center"/>
    </xf>
    <xf numFmtId="0" fontId="6" fillId="0" borderId="0" xfId="0" applyFont="1" applyAlignment="1">
      <alignment horizontal="left" vertical="center"/>
    </xf>
    <xf numFmtId="0" fontId="10" fillId="0" borderId="0" xfId="4" applyAlignment="1">
      <alignment horizontal="center" vertical="center"/>
    </xf>
    <xf numFmtId="0" fontId="37" fillId="0" borderId="0" xfId="0" applyFont="1">
      <alignment vertical="center"/>
    </xf>
    <xf numFmtId="0" fontId="31" fillId="11" borderId="0" xfId="4" applyFont="1" applyFill="1" applyAlignment="1">
      <alignment horizontal="center" vertical="center"/>
    </xf>
    <xf numFmtId="0" fontId="40" fillId="0" borderId="0" xfId="0" applyFont="1">
      <alignment vertical="center"/>
    </xf>
    <xf numFmtId="0" fontId="41" fillId="0" borderId="43" xfId="0" applyFont="1" applyBorder="1">
      <alignment vertical="center"/>
    </xf>
    <xf numFmtId="0" fontId="41" fillId="0" borderId="43" xfId="0" applyFont="1" applyBorder="1" applyAlignment="1">
      <alignment vertical="center" wrapText="1"/>
    </xf>
    <xf numFmtId="41" fontId="41" fillId="0" borderId="43" xfId="9" applyFont="1" applyBorder="1" applyAlignment="1">
      <alignment vertical="center"/>
    </xf>
    <xf numFmtId="0" fontId="37" fillId="0" borderId="53" xfId="0" applyFont="1" applyBorder="1">
      <alignment vertical="center"/>
    </xf>
    <xf numFmtId="0" fontId="40" fillId="0" borderId="0" xfId="0" applyFont="1" applyAlignment="1">
      <alignment horizontal="center" vertical="center"/>
    </xf>
    <xf numFmtId="0" fontId="43" fillId="0" borderId="55" xfId="0" applyFont="1" applyBorder="1">
      <alignment vertical="center"/>
    </xf>
    <xf numFmtId="0" fontId="43" fillId="0" borderId="56" xfId="0" applyFont="1" applyBorder="1">
      <alignment vertical="center"/>
    </xf>
    <xf numFmtId="0" fontId="17" fillId="10" borderId="43" xfId="0" applyFont="1" applyFill="1" applyBorder="1" applyAlignment="1">
      <alignment horizontal="center" vertical="center" wrapText="1"/>
    </xf>
    <xf numFmtId="0" fontId="45" fillId="0" borderId="0" xfId="0" applyFont="1">
      <alignment vertical="center"/>
    </xf>
    <xf numFmtId="0" fontId="22" fillId="0" borderId="0" xfId="0" applyFont="1" applyAlignment="1">
      <alignment horizontal="center" vertical="center"/>
    </xf>
    <xf numFmtId="0" fontId="9" fillId="0" borderId="40" xfId="0" applyFont="1" applyBorder="1" applyAlignment="1">
      <alignment horizontal="center" vertical="center"/>
    </xf>
    <xf numFmtId="0" fontId="17" fillId="0" borderId="0" xfId="0" applyFont="1" applyAlignment="1">
      <alignment horizontal="center" vertical="center" wrapText="1"/>
    </xf>
    <xf numFmtId="0" fontId="46" fillId="0" borderId="0" xfId="0" applyFont="1" applyAlignment="1">
      <alignment horizontal="center" vertical="center" wrapText="1"/>
    </xf>
    <xf numFmtId="0" fontId="9" fillId="10" borderId="35" xfId="0" applyFont="1" applyFill="1" applyBorder="1" applyAlignment="1">
      <alignment horizontal="center" vertical="center"/>
    </xf>
    <xf numFmtId="0" fontId="9" fillId="0" borderId="35" xfId="0" applyFont="1" applyBorder="1">
      <alignment vertical="center"/>
    </xf>
    <xf numFmtId="0" fontId="9" fillId="0" borderId="0" xfId="0" applyFont="1" applyAlignment="1">
      <alignment horizontal="left" vertical="center"/>
    </xf>
    <xf numFmtId="0" fontId="7" fillId="0" borderId="0" xfId="0" applyFont="1">
      <alignment vertical="center"/>
    </xf>
    <xf numFmtId="0" fontId="16" fillId="0" borderId="0" xfId="0" applyFont="1" applyAlignment="1">
      <alignment horizontal="center" vertical="center" wrapText="1"/>
    </xf>
    <xf numFmtId="0" fontId="9" fillId="0" borderId="35" xfId="0" applyFont="1" applyBorder="1" applyAlignment="1">
      <alignment horizontal="center" vertical="center"/>
    </xf>
    <xf numFmtId="0" fontId="17" fillId="0" borderId="0" xfId="0" applyFont="1" applyAlignment="1">
      <alignment horizontal="left" vertical="center" wrapText="1"/>
    </xf>
    <xf numFmtId="0" fontId="49" fillId="0" borderId="0" xfId="0" applyFont="1" applyAlignment="1">
      <alignment horizontal="center" vertical="center" wrapText="1"/>
    </xf>
    <xf numFmtId="180" fontId="17" fillId="0" borderId="35" xfId="6" applyNumberFormat="1" applyFont="1" applyFill="1" applyBorder="1" applyAlignment="1">
      <alignment horizontal="center" vertical="center" wrapText="1"/>
    </xf>
    <xf numFmtId="41" fontId="22" fillId="0" borderId="0" xfId="5" applyFont="1">
      <alignment vertical="center"/>
    </xf>
    <xf numFmtId="180" fontId="22" fillId="0" borderId="35" xfId="5" applyNumberFormat="1" applyFont="1" applyFill="1" applyBorder="1" applyAlignment="1">
      <alignment vertical="center" wrapText="1"/>
    </xf>
    <xf numFmtId="41" fontId="22" fillId="0" borderId="35" xfId="5" applyFont="1" applyFill="1" applyBorder="1" applyAlignment="1">
      <alignment vertical="center" wrapText="1"/>
    </xf>
    <xf numFmtId="0" fontId="33" fillId="0" borderId="0" xfId="0" applyFont="1" applyAlignment="1">
      <alignment horizontal="center" vertical="center" wrapText="1"/>
    </xf>
    <xf numFmtId="0" fontId="9" fillId="0" borderId="0" xfId="0" quotePrefix="1" applyFont="1">
      <alignment vertical="center"/>
    </xf>
    <xf numFmtId="178" fontId="9" fillId="0" borderId="35" xfId="0" applyNumberFormat="1" applyFont="1" applyBorder="1" applyAlignment="1">
      <alignment horizontal="center" vertical="center"/>
    </xf>
    <xf numFmtId="0" fontId="9" fillId="0" borderId="35" xfId="0" quotePrefix="1" applyFont="1" applyBorder="1" applyAlignment="1">
      <alignment horizontal="center" vertical="center"/>
    </xf>
    <xf numFmtId="181" fontId="9" fillId="0" borderId="35" xfId="0" applyNumberFormat="1" applyFont="1" applyBorder="1" applyAlignment="1">
      <alignment horizontal="center" vertical="center"/>
    </xf>
    <xf numFmtId="0" fontId="9" fillId="0" borderId="35" xfId="0" applyFont="1" applyBorder="1" applyAlignment="1">
      <alignment horizontal="left" vertical="center"/>
    </xf>
    <xf numFmtId="182" fontId="9" fillId="0" borderId="35" xfId="0" applyNumberFormat="1" applyFont="1" applyBorder="1" applyAlignment="1">
      <alignment horizontal="center" vertical="center"/>
    </xf>
    <xf numFmtId="0" fontId="17" fillId="0" borderId="35" xfId="0" applyFont="1" applyBorder="1" applyAlignment="1">
      <alignment vertical="center" wrapText="1"/>
    </xf>
    <xf numFmtId="0" fontId="18" fillId="0" borderId="0" xfId="0" applyFont="1" applyAlignment="1">
      <alignment horizontal="left" vertical="center"/>
    </xf>
    <xf numFmtId="0" fontId="18" fillId="0" borderId="0" xfId="0" applyFont="1" applyAlignment="1">
      <alignment vertical="center" wrapText="1"/>
    </xf>
    <xf numFmtId="42" fontId="17" fillId="0" borderId="35" xfId="0" applyNumberFormat="1" applyFont="1" applyBorder="1" applyAlignment="1">
      <alignment vertical="center" wrapText="1"/>
    </xf>
    <xf numFmtId="41" fontId="17" fillId="0" borderId="35" xfId="5" applyFont="1" applyBorder="1" applyAlignment="1">
      <alignment vertical="center" wrapText="1"/>
    </xf>
    <xf numFmtId="0" fontId="52" fillId="10" borderId="35" xfId="0" applyFont="1" applyFill="1" applyBorder="1" applyAlignment="1">
      <alignment horizontal="center" vertical="center" wrapText="1"/>
    </xf>
    <xf numFmtId="41" fontId="17" fillId="0" borderId="35" xfId="5" applyFont="1" applyBorder="1" applyAlignment="1">
      <alignment horizontal="right" vertical="center" wrapText="1"/>
    </xf>
    <xf numFmtId="0" fontId="24" fillId="0" borderId="30" xfId="0" applyFont="1" applyBorder="1">
      <alignment vertical="center"/>
    </xf>
    <xf numFmtId="3" fontId="9" fillId="0" borderId="35" xfId="0" applyNumberFormat="1" applyFont="1" applyBorder="1" applyAlignment="1">
      <alignment horizontal="center" vertical="center"/>
    </xf>
    <xf numFmtId="0" fontId="24" fillId="0" borderId="30" xfId="0" applyFont="1" applyBorder="1" applyAlignment="1">
      <alignment horizontal="left" vertical="center" wrapText="1"/>
    </xf>
    <xf numFmtId="0" fontId="24" fillId="0" borderId="31" xfId="0" applyFont="1" applyBorder="1" applyAlignment="1">
      <alignment horizontal="left" vertical="center" wrapText="1"/>
    </xf>
    <xf numFmtId="0" fontId="24" fillId="0" borderId="32" xfId="0" applyFont="1" applyBorder="1">
      <alignment vertical="center"/>
    </xf>
    <xf numFmtId="0" fontId="24" fillId="0" borderId="33" xfId="0" applyFont="1" applyBorder="1">
      <alignment vertical="center"/>
    </xf>
    <xf numFmtId="0" fontId="24" fillId="0" borderId="0" xfId="0" applyFont="1" applyAlignment="1">
      <alignment vertical="top" wrapText="1"/>
    </xf>
    <xf numFmtId="176" fontId="17" fillId="0" borderId="0" xfId="0" applyNumberFormat="1" applyFont="1" applyAlignment="1">
      <alignment horizontal="center" vertical="center" wrapText="1"/>
    </xf>
    <xf numFmtId="176" fontId="17" fillId="0" borderId="0" xfId="0" applyNumberFormat="1" applyFont="1" applyAlignment="1">
      <alignment horizontal="right" vertical="center" wrapText="1"/>
    </xf>
    <xf numFmtId="0" fontId="46" fillId="0" borderId="0" xfId="0" applyFont="1">
      <alignment vertical="center"/>
    </xf>
    <xf numFmtId="0" fontId="17" fillId="0" borderId="60" xfId="0" applyFont="1" applyBorder="1" applyAlignment="1">
      <alignment horizontal="center" vertical="center" wrapText="1"/>
    </xf>
    <xf numFmtId="41" fontId="17" fillId="0" borderId="52" xfId="5" applyFont="1" applyFill="1" applyBorder="1" applyAlignment="1">
      <alignment vertical="center" wrapText="1"/>
    </xf>
    <xf numFmtId="0" fontId="17" fillId="0" borderId="43" xfId="0" applyFont="1" applyBorder="1" applyAlignment="1">
      <alignment vertical="center" wrapText="1"/>
    </xf>
    <xf numFmtId="41" fontId="17" fillId="0" borderId="52" xfId="5" applyFont="1" applyBorder="1" applyAlignment="1">
      <alignment vertical="center"/>
    </xf>
    <xf numFmtId="0" fontId="53" fillId="0" borderId="0" xfId="0" applyFont="1" applyAlignment="1">
      <alignment horizontal="center" vertical="center"/>
    </xf>
    <xf numFmtId="0" fontId="54" fillId="0" borderId="17" xfId="0" applyFont="1" applyBorder="1" applyAlignment="1">
      <alignment horizontal="center" vertical="center" wrapText="1"/>
    </xf>
    <xf numFmtId="0" fontId="0" fillId="0" borderId="17" xfId="0" applyBorder="1">
      <alignment vertical="center"/>
    </xf>
    <xf numFmtId="0" fontId="0" fillId="0" borderId="0" xfId="0" applyAlignment="1">
      <alignment vertical="center" wrapText="1"/>
    </xf>
    <xf numFmtId="0" fontId="52" fillId="0" borderId="0" xfId="0" applyFont="1" applyAlignment="1">
      <alignment horizontal="left" vertical="center"/>
    </xf>
    <xf numFmtId="0" fontId="17" fillId="0" borderId="43" xfId="0" applyFont="1" applyBorder="1" applyAlignment="1">
      <alignment horizontal="center" vertical="center" wrapText="1"/>
    </xf>
    <xf numFmtId="41" fontId="38" fillId="0" borderId="43" xfId="5" applyFont="1" applyFill="1" applyBorder="1" applyAlignment="1">
      <alignment vertical="center" wrapText="1"/>
    </xf>
    <xf numFmtId="0" fontId="9" fillId="0" borderId="0" xfId="10">
      <alignment vertical="center"/>
    </xf>
    <xf numFmtId="38" fontId="9" fillId="0" borderId="0" xfId="10" applyNumberFormat="1">
      <alignment vertical="center"/>
    </xf>
    <xf numFmtId="0" fontId="9" fillId="0" borderId="0" xfId="10" applyAlignment="1">
      <alignment horizontal="right" vertical="center"/>
    </xf>
    <xf numFmtId="0" fontId="39" fillId="0" borderId="0" xfId="10" applyFont="1" applyAlignment="1">
      <alignment horizontal="right" vertical="center"/>
    </xf>
    <xf numFmtId="0" fontId="9" fillId="15" borderId="69" xfId="10" applyFill="1" applyBorder="1">
      <alignment vertical="center"/>
    </xf>
    <xf numFmtId="0" fontId="9" fillId="15" borderId="70" xfId="10" applyFill="1" applyBorder="1">
      <alignment vertical="center"/>
    </xf>
    <xf numFmtId="0" fontId="9" fillId="15" borderId="71" xfId="10" applyFill="1" applyBorder="1">
      <alignment vertical="center"/>
    </xf>
    <xf numFmtId="0" fontId="9" fillId="15" borderId="72" xfId="10" applyFill="1" applyBorder="1">
      <alignment vertical="center"/>
    </xf>
    <xf numFmtId="0" fontId="9" fillId="15" borderId="0" xfId="10" applyFill="1">
      <alignment vertical="center"/>
    </xf>
    <xf numFmtId="0" fontId="9" fillId="12" borderId="17" xfId="10" applyFill="1" applyBorder="1" applyAlignment="1">
      <alignment horizontal="center" vertical="center"/>
    </xf>
    <xf numFmtId="0" fontId="9" fillId="15" borderId="73" xfId="10" applyFill="1" applyBorder="1">
      <alignment vertical="center"/>
    </xf>
    <xf numFmtId="0" fontId="9" fillId="15" borderId="11" xfId="10" applyFill="1" applyBorder="1">
      <alignment vertical="center"/>
    </xf>
    <xf numFmtId="0" fontId="7" fillId="15" borderId="72" xfId="10" applyFont="1" applyFill="1" applyBorder="1" applyAlignment="1">
      <alignment horizontal="left" vertical="center"/>
    </xf>
    <xf numFmtId="0" fontId="7" fillId="15" borderId="0" xfId="10" applyFont="1" applyFill="1" applyAlignment="1">
      <alignment horizontal="left" vertical="center"/>
    </xf>
    <xf numFmtId="41" fontId="9" fillId="0" borderId="17" xfId="11" applyFont="1" applyFill="1" applyBorder="1">
      <alignment vertical="center"/>
    </xf>
    <xf numFmtId="0" fontId="9" fillId="15" borderId="72" xfId="10" applyFill="1" applyBorder="1" applyAlignment="1">
      <alignment horizontal="left" vertical="center"/>
    </xf>
    <xf numFmtId="0" fontId="9" fillId="15" borderId="0" xfId="10" applyFill="1" applyAlignment="1">
      <alignment horizontal="left" vertical="center"/>
    </xf>
    <xf numFmtId="41" fontId="0" fillId="15" borderId="0" xfId="11" applyFont="1" applyFill="1" applyBorder="1">
      <alignment vertical="center"/>
    </xf>
    <xf numFmtId="41" fontId="22" fillId="0" borderId="17" xfId="11" applyFont="1" applyBorder="1">
      <alignment vertical="center"/>
    </xf>
    <xf numFmtId="41" fontId="9" fillId="15" borderId="0" xfId="11" applyFont="1" applyFill="1" applyBorder="1">
      <alignment vertical="center"/>
    </xf>
    <xf numFmtId="0" fontId="63" fillId="0" borderId="17" xfId="10" applyFont="1" applyBorder="1">
      <alignment vertical="center"/>
    </xf>
    <xf numFmtId="0" fontId="9" fillId="15" borderId="16" xfId="10" applyFill="1" applyBorder="1">
      <alignment vertical="center"/>
    </xf>
    <xf numFmtId="43" fontId="9" fillId="0" borderId="17" xfId="11" applyNumberFormat="1" applyFont="1" applyFill="1" applyBorder="1">
      <alignment vertical="center"/>
    </xf>
    <xf numFmtId="41" fontId="64" fillId="15" borderId="0" xfId="11" applyFont="1" applyFill="1" applyBorder="1">
      <alignment vertical="center"/>
    </xf>
    <xf numFmtId="0" fontId="64" fillId="15" borderId="0" xfId="10" applyFont="1" applyFill="1">
      <alignment vertical="center"/>
    </xf>
    <xf numFmtId="183" fontId="64" fillId="15" borderId="74" xfId="10" applyNumberFormat="1" applyFont="1" applyFill="1" applyBorder="1">
      <alignment vertical="center"/>
    </xf>
    <xf numFmtId="0" fontId="9" fillId="15" borderId="75" xfId="10" applyFill="1" applyBorder="1">
      <alignment vertical="center"/>
    </xf>
    <xf numFmtId="0" fontId="9" fillId="15" borderId="76" xfId="10" applyFill="1" applyBorder="1">
      <alignment vertical="center"/>
    </xf>
    <xf numFmtId="0" fontId="9" fillId="15" borderId="77" xfId="10" applyFill="1" applyBorder="1">
      <alignment vertical="center"/>
    </xf>
    <xf numFmtId="0" fontId="67" fillId="0" borderId="90" xfId="0" applyFont="1" applyBorder="1" applyAlignment="1">
      <alignment horizontal="center" vertical="center"/>
    </xf>
    <xf numFmtId="0" fontId="67" fillId="0" borderId="91" xfId="0" applyFont="1" applyBorder="1" applyAlignment="1">
      <alignment horizontal="center" vertical="center"/>
    </xf>
    <xf numFmtId="49" fontId="67" fillId="0" borderId="91" xfId="0" applyNumberFormat="1" applyFont="1" applyBorder="1" applyAlignment="1">
      <alignment horizontal="center" vertical="center"/>
    </xf>
    <xf numFmtId="0" fontId="0" fillId="0" borderId="91" xfId="0" applyBorder="1">
      <alignment vertical="center"/>
    </xf>
    <xf numFmtId="0" fontId="69" fillId="0" borderId="90" xfId="12" applyFont="1" applyBorder="1">
      <alignment vertical="center"/>
    </xf>
    <xf numFmtId="0" fontId="0" fillId="0" borderId="91" xfId="0" applyBorder="1" applyAlignment="1">
      <alignment horizontal="center" vertical="center"/>
    </xf>
    <xf numFmtId="49" fontId="0" fillId="0" borderId="91" xfId="0" applyNumberFormat="1" applyBorder="1" applyAlignment="1">
      <alignment horizontal="center" vertical="center"/>
    </xf>
    <xf numFmtId="0" fontId="0" fillId="0" borderId="90" xfId="0" applyBorder="1" applyAlignment="1">
      <alignment horizontal="center" vertical="center"/>
    </xf>
    <xf numFmtId="0" fontId="0" fillId="0" borderId="90" xfId="0" applyBorder="1">
      <alignment vertical="center"/>
    </xf>
    <xf numFmtId="0" fontId="0" fillId="0" borderId="93" xfId="0" applyBorder="1">
      <alignment vertical="center"/>
    </xf>
    <xf numFmtId="0" fontId="0" fillId="0" borderId="94" xfId="0" applyBorder="1">
      <alignment vertical="center"/>
    </xf>
    <xf numFmtId="49" fontId="0" fillId="0" borderId="0" xfId="0" applyNumberFormat="1" applyAlignment="1"/>
    <xf numFmtId="0" fontId="0" fillId="0" borderId="94" xfId="0" applyBorder="1" applyAlignment="1">
      <alignment horizontal="center" vertical="center"/>
    </xf>
    <xf numFmtId="0" fontId="0" fillId="0" borderId="92" xfId="0" applyBorder="1" applyAlignment="1">
      <alignment horizontal="center" vertical="center"/>
    </xf>
    <xf numFmtId="0" fontId="0" fillId="0" borderId="95" xfId="0" applyBorder="1" applyAlignment="1">
      <alignment horizontal="center" vertical="center"/>
    </xf>
    <xf numFmtId="0" fontId="22" fillId="0" borderId="91" xfId="0" applyFont="1" applyBorder="1" applyAlignment="1">
      <alignment horizontal="center" vertical="center"/>
    </xf>
    <xf numFmtId="49" fontId="66" fillId="16" borderId="91" xfId="0" applyNumberFormat="1" applyFont="1" applyFill="1" applyBorder="1" applyAlignment="1">
      <alignment horizontal="center" vertical="center" wrapText="1"/>
    </xf>
    <xf numFmtId="49" fontId="66" fillId="16" borderId="92" xfId="0" applyNumberFormat="1" applyFont="1" applyFill="1" applyBorder="1" applyAlignment="1">
      <alignment horizontal="center" vertical="center" wrapText="1"/>
    </xf>
    <xf numFmtId="0" fontId="67" fillId="0" borderId="92" xfId="0" applyFont="1" applyBorder="1" applyAlignment="1">
      <alignment horizontal="center" vertical="center"/>
    </xf>
    <xf numFmtId="0" fontId="17" fillId="10" borderId="7" xfId="0" applyFont="1" applyFill="1" applyBorder="1" applyAlignment="1">
      <alignment horizontal="center" vertical="center" wrapText="1"/>
    </xf>
    <xf numFmtId="0" fontId="22" fillId="0" borderId="94" xfId="0" applyFont="1" applyBorder="1" applyAlignment="1">
      <alignment horizontal="center" vertical="center"/>
    </xf>
    <xf numFmtId="0" fontId="22" fillId="10" borderId="43" xfId="0" applyFont="1" applyFill="1" applyBorder="1" applyAlignment="1">
      <alignment horizontal="left" vertical="center" indent="1"/>
    </xf>
    <xf numFmtId="0" fontId="43" fillId="0" borderId="54" xfId="0" applyFont="1" applyBorder="1" applyAlignment="1">
      <alignment horizontal="left" vertical="center" indent="1"/>
    </xf>
    <xf numFmtId="0" fontId="43" fillId="0" borderId="55" xfId="0" applyFont="1" applyBorder="1" applyAlignment="1">
      <alignment horizontal="left" vertical="center" indent="1"/>
    </xf>
    <xf numFmtId="0" fontId="22" fillId="0" borderId="44" xfId="0" applyFont="1" applyBorder="1" applyAlignment="1">
      <alignment horizontal="center" vertical="center"/>
    </xf>
    <xf numFmtId="0" fontId="22" fillId="0" borderId="47" xfId="0" applyFont="1" applyBorder="1" applyAlignment="1">
      <alignment horizontal="center" vertical="center"/>
    </xf>
    <xf numFmtId="49" fontId="66" fillId="10" borderId="91" xfId="0" applyNumberFormat="1" applyFont="1" applyFill="1" applyBorder="1" applyAlignment="1">
      <alignment horizontal="center" vertical="center" wrapText="1"/>
    </xf>
    <xf numFmtId="177" fontId="17" fillId="0" borderId="35" xfId="0" applyNumberFormat="1" applyFont="1" applyBorder="1" applyAlignment="1">
      <alignment horizontal="center" vertical="center" wrapText="1"/>
    </xf>
    <xf numFmtId="0" fontId="17" fillId="0" borderId="36" xfId="0" applyFont="1" applyBorder="1" applyAlignment="1">
      <alignment horizontal="center" vertical="center" wrapText="1"/>
    </xf>
    <xf numFmtId="0" fontId="17" fillId="0" borderId="38" xfId="0" applyFont="1" applyBorder="1" applyAlignment="1">
      <alignment horizontal="center" vertical="center" wrapText="1"/>
    </xf>
    <xf numFmtId="49" fontId="41" fillId="0" borderId="113" xfId="0" applyNumberFormat="1" applyFont="1" applyBorder="1" applyAlignment="1">
      <alignment vertical="top" wrapText="1"/>
    </xf>
    <xf numFmtId="49" fontId="41" fillId="0" borderId="28" xfId="0" applyNumberFormat="1" applyFont="1" applyBorder="1" applyAlignment="1">
      <alignment vertical="top" wrapText="1"/>
    </xf>
    <xf numFmtId="49" fontId="41" fillId="0" borderId="114" xfId="0" applyNumberFormat="1" applyFont="1" applyBorder="1" applyAlignment="1">
      <alignment vertical="top" wrapText="1"/>
    </xf>
    <xf numFmtId="49" fontId="41" fillId="0" borderId="3" xfId="0" applyNumberFormat="1" applyFont="1" applyBorder="1" applyAlignment="1">
      <alignment vertical="top" wrapText="1"/>
    </xf>
    <xf numFmtId="49" fontId="41" fillId="0" borderId="0" xfId="0" applyNumberFormat="1" applyFont="1" applyAlignment="1">
      <alignment vertical="top" wrapText="1"/>
    </xf>
    <xf numFmtId="49" fontId="41" fillId="0" borderId="4" xfId="0" applyNumberFormat="1" applyFont="1" applyBorder="1" applyAlignment="1">
      <alignment vertical="top" wrapText="1"/>
    </xf>
    <xf numFmtId="49" fontId="41" fillId="0" borderId="5" xfId="0" applyNumberFormat="1" applyFont="1" applyBorder="1" applyAlignment="1">
      <alignment vertical="top" wrapText="1"/>
    </xf>
    <xf numFmtId="49" fontId="41" fillId="0" borderId="86" xfId="0" applyNumberFormat="1" applyFont="1" applyBorder="1" applyAlignment="1">
      <alignment vertical="top" wrapText="1"/>
    </xf>
    <xf numFmtId="49" fontId="41" fillId="0" borderId="6" xfId="0" applyNumberFormat="1" applyFont="1" applyBorder="1" applyAlignment="1">
      <alignment vertical="top" wrapText="1"/>
    </xf>
    <xf numFmtId="0" fontId="43" fillId="0" borderId="0" xfId="0" applyFont="1" applyAlignment="1">
      <alignment horizontal="center" vertical="center" wrapText="1"/>
    </xf>
    <xf numFmtId="0" fontId="22" fillId="0" borderId="0" xfId="0" quotePrefix="1" applyFont="1" applyAlignment="1">
      <alignment vertical="top"/>
    </xf>
    <xf numFmtId="0" fontId="44" fillId="0" borderId="0" xfId="0" applyFont="1">
      <alignment vertical="center"/>
    </xf>
    <xf numFmtId="0" fontId="44" fillId="0" borderId="0" xfId="0" applyFont="1" applyAlignment="1">
      <alignment horizontal="center" vertical="center"/>
    </xf>
    <xf numFmtId="0" fontId="22" fillId="10" borderId="35" xfId="0" applyFont="1" applyFill="1" applyBorder="1" applyAlignment="1">
      <alignment horizontal="center" vertical="center" shrinkToFit="1"/>
    </xf>
    <xf numFmtId="0" fontId="28" fillId="0" borderId="15" xfId="0" applyFont="1" applyBorder="1">
      <alignment vertical="center"/>
    </xf>
    <xf numFmtId="180" fontId="32" fillId="0" borderId="35" xfId="6" applyNumberFormat="1" applyFont="1" applyFill="1" applyBorder="1" applyAlignment="1">
      <alignment horizontal="center" vertical="center" wrapText="1"/>
    </xf>
    <xf numFmtId="180" fontId="32" fillId="0" borderId="35" xfId="5" applyNumberFormat="1" applyFont="1" applyFill="1" applyBorder="1" applyAlignment="1">
      <alignment horizontal="center" vertical="center" wrapText="1"/>
    </xf>
    <xf numFmtId="41" fontId="32" fillId="0" borderId="35" xfId="5" applyFont="1" applyFill="1" applyBorder="1" applyAlignment="1">
      <alignment horizontal="right" vertical="center" wrapText="1"/>
    </xf>
    <xf numFmtId="185" fontId="17" fillId="0" borderId="35" xfId="0" applyNumberFormat="1" applyFont="1" applyBorder="1" applyAlignment="1">
      <alignment vertical="center" wrapText="1"/>
    </xf>
    <xf numFmtId="178" fontId="32" fillId="0" borderId="35" xfId="0" applyNumberFormat="1" applyFont="1" applyBorder="1" applyAlignment="1">
      <alignment horizontal="center" vertical="center"/>
    </xf>
    <xf numFmtId="0" fontId="32" fillId="0" borderId="35" xfId="0" applyFont="1" applyBorder="1" applyAlignment="1">
      <alignment vertical="center" wrapText="1"/>
    </xf>
    <xf numFmtId="0" fontId="28" fillId="0" borderId="0" xfId="0" applyFont="1" applyAlignment="1">
      <alignment horizontal="left" vertical="center"/>
    </xf>
    <xf numFmtId="0" fontId="32" fillId="0" borderId="41" xfId="0" applyFont="1" applyBorder="1">
      <alignment vertical="center"/>
    </xf>
    <xf numFmtId="41" fontId="70" fillId="0" borderId="43" xfId="5" applyFont="1" applyFill="1" applyBorder="1" applyAlignment="1">
      <alignment vertical="center" wrapText="1"/>
    </xf>
    <xf numFmtId="41" fontId="82" fillId="15" borderId="74" xfId="11" applyFont="1" applyFill="1" applyBorder="1">
      <alignment vertical="center"/>
    </xf>
    <xf numFmtId="0" fontId="86" fillId="0" borderId="0" xfId="10" applyFont="1" applyAlignment="1">
      <alignment horizontal="center" vertical="center" wrapText="1"/>
    </xf>
    <xf numFmtId="0" fontId="56" fillId="0" borderId="0" xfId="10" applyFont="1" applyAlignment="1">
      <alignment vertical="center" wrapText="1"/>
    </xf>
    <xf numFmtId="0" fontId="16" fillId="9" borderId="0" xfId="10" applyFont="1" applyFill="1" applyAlignment="1">
      <alignment horizontal="left" vertical="center" wrapText="1"/>
    </xf>
    <xf numFmtId="0" fontId="17" fillId="10" borderId="17" xfId="10" applyFont="1" applyFill="1" applyBorder="1" applyAlignment="1">
      <alignment horizontal="center" vertical="center" wrapText="1"/>
    </xf>
    <xf numFmtId="0" fontId="9" fillId="10" borderId="17" xfId="10" applyFill="1" applyBorder="1" applyAlignment="1">
      <alignment horizontal="center" vertical="center" wrapText="1"/>
    </xf>
    <xf numFmtId="0" fontId="32" fillId="0" borderId="17" xfId="10" applyFont="1" applyBorder="1" applyAlignment="1">
      <alignment horizontal="center" vertical="center"/>
    </xf>
    <xf numFmtId="0" fontId="9" fillId="0" borderId="17" xfId="10" applyBorder="1" applyAlignment="1">
      <alignment horizontal="center" vertical="center" wrapText="1"/>
    </xf>
    <xf numFmtId="0" fontId="17" fillId="9" borderId="0" xfId="10" applyFont="1" applyFill="1" applyAlignment="1">
      <alignment horizontal="center" vertical="center" wrapText="1"/>
    </xf>
    <xf numFmtId="0" fontId="17" fillId="9" borderId="0" xfId="10" applyFont="1" applyFill="1" applyAlignment="1">
      <alignment horizontal="left" vertical="center" wrapText="1"/>
    </xf>
    <xf numFmtId="0" fontId="17" fillId="9" borderId="0" xfId="10" applyFont="1" applyFill="1" applyAlignment="1">
      <alignment vertical="center" wrapText="1"/>
    </xf>
    <xf numFmtId="0" fontId="87" fillId="0" borderId="0" xfId="10" applyFont="1" applyAlignment="1">
      <alignment vertical="top" wrapText="1"/>
    </xf>
    <xf numFmtId="184" fontId="9" fillId="0" borderId="0" xfId="10" applyNumberFormat="1">
      <alignment vertical="center"/>
    </xf>
    <xf numFmtId="0" fontId="17" fillId="16" borderId="17" xfId="10" applyFont="1" applyFill="1" applyBorder="1" applyAlignment="1">
      <alignment horizontal="center" vertical="center" wrapText="1"/>
    </xf>
    <xf numFmtId="0" fontId="46" fillId="0" borderId="0" xfId="10" applyFont="1">
      <alignment vertical="center"/>
    </xf>
    <xf numFmtId="0" fontId="22" fillId="0" borderId="0" xfId="10" applyFont="1">
      <alignment vertical="center"/>
    </xf>
    <xf numFmtId="0" fontId="22" fillId="0" borderId="0" xfId="10" applyFont="1" applyAlignment="1">
      <alignment horizontal="left" vertical="center"/>
    </xf>
    <xf numFmtId="0" fontId="19" fillId="0" borderId="0" xfId="10" applyFont="1" applyAlignment="1">
      <alignment horizontal="center" vertical="center" wrapText="1"/>
    </xf>
    <xf numFmtId="0" fontId="20" fillId="0" borderId="0" xfId="10" applyFont="1" applyAlignment="1">
      <alignment horizontal="center" vertical="center" wrapText="1"/>
    </xf>
    <xf numFmtId="0" fontId="22" fillId="0" borderId="0" xfId="10" applyFont="1" applyAlignment="1">
      <alignment horizontal="left" vertical="center" wrapText="1"/>
    </xf>
    <xf numFmtId="0" fontId="22" fillId="0" borderId="0" xfId="10" applyFont="1" applyAlignment="1">
      <alignment horizontal="center" vertical="center" wrapText="1"/>
    </xf>
    <xf numFmtId="186" fontId="22" fillId="0" borderId="0" xfId="10" applyNumberFormat="1" applyFont="1" applyAlignment="1">
      <alignment horizontal="center" vertical="center" wrapText="1"/>
    </xf>
    <xf numFmtId="187" fontId="22" fillId="0" borderId="0" xfId="10" applyNumberFormat="1" applyFont="1" applyAlignment="1">
      <alignment horizontal="center" vertical="center" wrapText="1"/>
    </xf>
    <xf numFmtId="0" fontId="43" fillId="0" borderId="0" xfId="10" applyFont="1" applyAlignment="1">
      <alignment horizontal="center" vertical="center" wrapText="1"/>
    </xf>
    <xf numFmtId="0" fontId="43" fillId="0" borderId="0" xfId="10" applyFont="1" applyAlignment="1">
      <alignment horizontal="left" vertical="center" wrapText="1"/>
    </xf>
    <xf numFmtId="0" fontId="23" fillId="0" borderId="0" xfId="10" applyFont="1" applyAlignment="1">
      <alignment horizontal="left" vertical="center" wrapText="1"/>
    </xf>
    <xf numFmtId="176" fontId="44" fillId="0" borderId="0" xfId="10" applyNumberFormat="1" applyFont="1" applyAlignment="1">
      <alignment horizontal="center" vertical="center"/>
    </xf>
    <xf numFmtId="0" fontId="88" fillId="0" borderId="0" xfId="10" applyFont="1" applyAlignment="1">
      <alignment horizontal="left" vertical="center" wrapText="1"/>
    </xf>
    <xf numFmtId="0" fontId="90" fillId="0" borderId="0" xfId="0" applyFont="1" applyAlignment="1">
      <alignment horizontal="left" vertical="center"/>
    </xf>
    <xf numFmtId="0" fontId="92" fillId="0" borderId="0" xfId="0" applyFont="1" applyAlignment="1">
      <alignment horizontal="left" vertical="center" wrapText="1"/>
    </xf>
    <xf numFmtId="0" fontId="92" fillId="0" borderId="0" xfId="0" applyFont="1" applyAlignment="1">
      <alignment vertical="center" wrapText="1"/>
    </xf>
    <xf numFmtId="0" fontId="92" fillId="0" borderId="0" xfId="0" applyFont="1">
      <alignment vertical="center"/>
    </xf>
    <xf numFmtId="0" fontId="91" fillId="0" borderId="0" xfId="0" applyFont="1" applyAlignment="1">
      <alignment horizontal="left" vertical="center"/>
    </xf>
    <xf numFmtId="0" fontId="94" fillId="0" borderId="0" xfId="0" applyFont="1" applyAlignment="1">
      <alignment horizontal="left" vertical="center" wrapText="1"/>
    </xf>
    <xf numFmtId="0" fontId="94" fillId="0" borderId="0" xfId="0" applyFont="1" applyAlignment="1">
      <alignment vertical="center" wrapText="1"/>
    </xf>
    <xf numFmtId="0" fontId="94" fillId="0" borderId="0" xfId="0" applyFont="1">
      <alignment vertical="center"/>
    </xf>
    <xf numFmtId="0" fontId="94" fillId="0" borderId="10" xfId="0" applyFont="1" applyBorder="1" applyAlignment="1">
      <alignment horizontal="left" vertical="center" wrapText="1"/>
    </xf>
    <xf numFmtId="0" fontId="94" fillId="0" borderId="11" xfId="0" applyFont="1" applyBorder="1" applyAlignment="1">
      <alignment horizontal="left" vertical="center" wrapText="1"/>
    </xf>
    <xf numFmtId="0" fontId="94" fillId="0" borderId="12" xfId="0" applyFont="1" applyBorder="1" applyAlignment="1">
      <alignment horizontal="left" vertical="center" wrapText="1"/>
    </xf>
    <xf numFmtId="0" fontId="94" fillId="0" borderId="13" xfId="0" applyFont="1" applyBorder="1" applyAlignment="1">
      <alignment horizontal="left" vertical="center" wrapText="1"/>
    </xf>
    <xf numFmtId="0" fontId="94" fillId="0" borderId="14" xfId="0" applyFont="1" applyBorder="1" applyAlignment="1">
      <alignment horizontal="left" vertical="center" wrapText="1"/>
    </xf>
    <xf numFmtId="0" fontId="94" fillId="0" borderId="14" xfId="0" applyFont="1" applyBorder="1" applyAlignment="1">
      <alignment vertical="center" wrapText="1"/>
    </xf>
    <xf numFmtId="0" fontId="95" fillId="0" borderId="0" xfId="0" applyFont="1" applyAlignment="1">
      <alignment horizontal="center" vertical="center" wrapText="1"/>
    </xf>
    <xf numFmtId="0" fontId="94" fillId="0" borderId="13" xfId="0" applyFont="1" applyBorder="1" applyAlignment="1">
      <alignment horizontal="left" vertical="center"/>
    </xf>
    <xf numFmtId="0" fontId="95" fillId="0" borderId="0" xfId="0" applyFont="1" applyAlignment="1">
      <alignment vertical="center" wrapText="1"/>
    </xf>
    <xf numFmtId="0" fontId="94" fillId="0" borderId="13" xfId="0" applyFont="1" applyBorder="1" applyAlignment="1">
      <alignment vertical="center" wrapText="1"/>
    </xf>
    <xf numFmtId="0" fontId="96" fillId="0" borderId="0" xfId="0" applyFont="1" applyAlignment="1">
      <alignment vertical="center" wrapText="1"/>
    </xf>
    <xf numFmtId="0" fontId="97" fillId="0" borderId="19" xfId="0" applyFont="1" applyBorder="1" applyAlignment="1">
      <alignment horizontal="center" vertical="center" wrapText="1"/>
    </xf>
    <xf numFmtId="0" fontId="97" fillId="0" borderId="13" xfId="0" applyFont="1" applyBorder="1" applyAlignment="1">
      <alignment horizontal="center" vertical="center" wrapText="1"/>
    </xf>
    <xf numFmtId="0" fontId="95" fillId="0" borderId="0" xfId="0" applyFont="1" applyAlignment="1">
      <alignment horizontal="left" vertical="center" wrapText="1"/>
    </xf>
    <xf numFmtId="0" fontId="97" fillId="0" borderId="0" xfId="0" applyFont="1" applyAlignment="1">
      <alignment horizontal="center" vertical="center" wrapText="1"/>
    </xf>
    <xf numFmtId="185" fontId="95" fillId="0" borderId="0" xfId="0" applyNumberFormat="1" applyFont="1" applyAlignment="1">
      <alignment horizontal="left" vertical="center" wrapText="1"/>
    </xf>
    <xf numFmtId="0" fontId="97" fillId="0" borderId="0" xfId="0" applyFont="1" applyAlignment="1">
      <alignment vertical="center" wrapText="1"/>
    </xf>
    <xf numFmtId="0" fontId="97" fillId="0" borderId="14" xfId="0" applyFont="1" applyBorder="1" applyAlignment="1">
      <alignment vertical="center" wrapText="1"/>
    </xf>
    <xf numFmtId="0" fontId="97" fillId="0" borderId="13" xfId="0" applyFont="1" applyBorder="1" applyAlignment="1">
      <alignment horizontal="left" vertical="center"/>
    </xf>
    <xf numFmtId="0" fontId="98" fillId="0" borderId="0" xfId="0" applyFont="1" applyAlignment="1">
      <alignment horizontal="left" vertical="center"/>
    </xf>
    <xf numFmtId="0" fontId="97" fillId="0" borderId="0" xfId="0" applyFont="1" applyAlignment="1">
      <alignment horizontal="left" vertical="center"/>
    </xf>
    <xf numFmtId="0" fontId="97" fillId="0" borderId="15" xfId="0" applyFont="1" applyBorder="1" applyAlignment="1">
      <alignment horizontal="center" vertical="center" wrapText="1"/>
    </xf>
    <xf numFmtId="0" fontId="97" fillId="0" borderId="13" xfId="0" applyFont="1" applyBorder="1">
      <alignment vertical="center"/>
    </xf>
    <xf numFmtId="0" fontId="97" fillId="0" borderId="0" xfId="0" applyFont="1">
      <alignment vertical="center"/>
    </xf>
    <xf numFmtId="0" fontId="97" fillId="0" borderId="14" xfId="0" applyFont="1" applyBorder="1">
      <alignment vertical="center"/>
    </xf>
    <xf numFmtId="0" fontId="96" fillId="0" borderId="0" xfId="0" applyFont="1" applyAlignment="1">
      <alignment horizontal="left" vertical="center"/>
    </xf>
    <xf numFmtId="178" fontId="95" fillId="0" borderId="15" xfId="0" applyNumberFormat="1" applyFont="1" applyBorder="1" applyAlignment="1">
      <alignment horizontal="center" vertical="center"/>
    </xf>
    <xf numFmtId="20" fontId="95" fillId="0" borderId="15" xfId="0" applyNumberFormat="1" applyFont="1" applyBorder="1" applyAlignment="1">
      <alignment horizontal="center" vertical="center"/>
    </xf>
    <xf numFmtId="0" fontId="95" fillId="0" borderId="15" xfId="0" applyFont="1" applyBorder="1" applyAlignment="1">
      <alignment horizontal="center" vertical="center"/>
    </xf>
    <xf numFmtId="0" fontId="98" fillId="0" borderId="0" xfId="0" applyFont="1">
      <alignment vertical="center"/>
    </xf>
    <xf numFmtId="41" fontId="95" fillId="0" borderId="15" xfId="5" applyFont="1" applyBorder="1" applyAlignment="1">
      <alignment vertical="center" wrapText="1"/>
    </xf>
    <xf numFmtId="41" fontId="98" fillId="0" borderId="0" xfId="5" applyFont="1" applyBorder="1" applyAlignment="1">
      <alignment vertical="center"/>
    </xf>
    <xf numFmtId="0" fontId="98" fillId="0" borderId="0" xfId="0" quotePrefix="1" applyFont="1" applyAlignment="1">
      <alignment horizontal="right" vertical="center" wrapText="1"/>
    </xf>
    <xf numFmtId="0" fontId="97" fillId="0" borderId="15" xfId="0" applyFont="1" applyBorder="1">
      <alignment vertical="center"/>
    </xf>
    <xf numFmtId="0" fontId="100" fillId="0" borderId="13" xfId="0" applyFont="1" applyBorder="1" applyAlignment="1">
      <alignment horizontal="left" vertical="center"/>
    </xf>
    <xf numFmtId="0" fontId="97" fillId="0" borderId="17" xfId="0" applyFont="1" applyBorder="1" applyAlignment="1">
      <alignment horizontal="center" vertical="center"/>
    </xf>
    <xf numFmtId="0" fontId="97" fillId="0" borderId="17" xfId="0" applyFont="1" applyBorder="1">
      <alignment vertical="center"/>
    </xf>
    <xf numFmtId="9" fontId="97" fillId="0" borderId="17" xfId="6" applyFont="1" applyBorder="1" applyAlignment="1">
      <alignment horizontal="center" vertical="center"/>
    </xf>
    <xf numFmtId="188" fontId="97" fillId="0" borderId="17" xfId="0" applyNumberFormat="1" applyFont="1" applyBorder="1">
      <alignment vertical="center"/>
    </xf>
    <xf numFmtId="0" fontId="98" fillId="0" borderId="13" xfId="0" applyFont="1" applyBorder="1" applyAlignment="1">
      <alignment horizontal="left" vertical="center"/>
    </xf>
    <xf numFmtId="0" fontId="98" fillId="0" borderId="14" xfId="0" applyFont="1" applyBorder="1" applyAlignment="1">
      <alignment horizontal="left" vertical="center"/>
    </xf>
    <xf numFmtId="0" fontId="96" fillId="0" borderId="13" xfId="0" applyFont="1" applyBorder="1" applyAlignment="1">
      <alignment horizontal="right" vertical="center"/>
    </xf>
    <xf numFmtId="0" fontId="101" fillId="0" borderId="0" xfId="0" applyFont="1">
      <alignment vertical="center"/>
    </xf>
    <xf numFmtId="0" fontId="96" fillId="0" borderId="0" xfId="0" applyFont="1">
      <alignment vertical="center"/>
    </xf>
    <xf numFmtId="0" fontId="96" fillId="0" borderId="15" xfId="0" applyFont="1" applyBorder="1" applyAlignment="1">
      <alignment horizontal="center" vertical="center"/>
    </xf>
    <xf numFmtId="0" fontId="96" fillId="0" borderId="14" xfId="0" applyFont="1" applyBorder="1">
      <alignment vertical="center"/>
    </xf>
    <xf numFmtId="0" fontId="94" fillId="0" borderId="15" xfId="0" applyFont="1" applyBorder="1">
      <alignment vertical="center"/>
    </xf>
    <xf numFmtId="0" fontId="96" fillId="0" borderId="15" xfId="0" applyFont="1" applyBorder="1">
      <alignment vertical="center"/>
    </xf>
    <xf numFmtId="0" fontId="101" fillId="0" borderId="15" xfId="0" applyFont="1" applyBorder="1">
      <alignment vertical="center"/>
    </xf>
    <xf numFmtId="0" fontId="96" fillId="0" borderId="24" xfId="0" applyFont="1" applyBorder="1">
      <alignment vertical="center"/>
    </xf>
    <xf numFmtId="0" fontId="96" fillId="0" borderId="0" xfId="0" applyFont="1" applyAlignment="1">
      <alignment horizontal="center" vertical="center"/>
    </xf>
    <xf numFmtId="0" fontId="96" fillId="0" borderId="16" xfId="0" applyFont="1" applyBorder="1" applyAlignment="1">
      <alignment horizontal="center" vertical="center"/>
    </xf>
    <xf numFmtId="0" fontId="101" fillId="0" borderId="0" xfId="0" applyFont="1" applyAlignment="1">
      <alignment horizontal="center" vertical="center"/>
    </xf>
    <xf numFmtId="0" fontId="102" fillId="0" borderId="0" xfId="0" applyFont="1">
      <alignment vertical="center"/>
    </xf>
    <xf numFmtId="0" fontId="103" fillId="0" borderId="13" xfId="0" applyFont="1" applyBorder="1">
      <alignment vertical="center"/>
    </xf>
    <xf numFmtId="0" fontId="94" fillId="0" borderId="14" xfId="0" applyFont="1" applyBorder="1">
      <alignment vertical="center"/>
    </xf>
    <xf numFmtId="0" fontId="104" fillId="0" borderId="13" xfId="0" applyFont="1" applyBorder="1">
      <alignment vertical="center"/>
    </xf>
    <xf numFmtId="0" fontId="103" fillId="0" borderId="13" xfId="0" quotePrefix="1" applyFont="1" applyBorder="1">
      <alignment vertical="center"/>
    </xf>
    <xf numFmtId="0" fontId="94" fillId="0" borderId="25" xfId="0" applyFont="1" applyBorder="1" applyAlignment="1">
      <alignment horizontal="left" vertical="center" wrapText="1"/>
    </xf>
    <xf numFmtId="0" fontId="94" fillId="0" borderId="15" xfId="0" applyFont="1" applyBorder="1" applyAlignment="1">
      <alignment horizontal="left" vertical="center" wrapText="1"/>
    </xf>
    <xf numFmtId="0" fontId="94" fillId="0" borderId="24" xfId="0" applyFont="1" applyBorder="1" applyAlignment="1">
      <alignment horizontal="left" vertical="center" wrapText="1"/>
    </xf>
    <xf numFmtId="0" fontId="98" fillId="0" borderId="0" xfId="0" quotePrefix="1" applyFont="1" applyAlignment="1">
      <alignment horizontal="right" vertical="center"/>
    </xf>
    <xf numFmtId="9" fontId="97" fillId="0" borderId="0" xfId="6" applyFont="1" applyBorder="1" applyAlignment="1">
      <alignment horizontal="center" vertical="center"/>
    </xf>
    <xf numFmtId="188" fontId="97" fillId="0" borderId="14" xfId="0" applyNumberFormat="1" applyFont="1" applyBorder="1">
      <alignment vertical="center"/>
    </xf>
    <xf numFmtId="0" fontId="97" fillId="0" borderId="17" xfId="0" applyFont="1" applyBorder="1" applyAlignment="1">
      <alignment vertical="center" wrapText="1"/>
    </xf>
    <xf numFmtId="0" fontId="101" fillId="0" borderId="11" xfId="0" applyFont="1" applyBorder="1" applyAlignment="1">
      <alignment horizontal="center" vertical="center"/>
    </xf>
    <xf numFmtId="0" fontId="108" fillId="0" borderId="0" xfId="0" applyFont="1">
      <alignment vertical="center"/>
    </xf>
    <xf numFmtId="0" fontId="104" fillId="0" borderId="13" xfId="0" applyFont="1" applyBorder="1" applyAlignment="1">
      <alignment horizontal="center" vertical="center"/>
    </xf>
    <xf numFmtId="0" fontId="104" fillId="0" borderId="0" xfId="0" applyFont="1" applyAlignment="1">
      <alignment horizontal="center" vertical="center"/>
    </xf>
    <xf numFmtId="0" fontId="104" fillId="0" borderId="14" xfId="0" applyFont="1" applyBorder="1" applyAlignment="1">
      <alignment horizontal="center" vertical="center"/>
    </xf>
    <xf numFmtId="0" fontId="103" fillId="0" borderId="13" xfId="0" applyFont="1" applyBorder="1" applyAlignment="1">
      <alignment horizontal="center" vertical="center"/>
    </xf>
    <xf numFmtId="0" fontId="103" fillId="0" borderId="0" xfId="0" applyFont="1" applyAlignment="1">
      <alignment horizontal="center" vertical="center"/>
    </xf>
    <xf numFmtId="0" fontId="103" fillId="0" borderId="14" xfId="0" applyFont="1" applyBorder="1" applyAlignment="1">
      <alignment horizontal="center" vertical="center"/>
    </xf>
    <xf numFmtId="0" fontId="2" fillId="0" borderId="0" xfId="0" applyFont="1" applyProtection="1">
      <alignment vertical="center"/>
      <protection hidden="1"/>
    </xf>
    <xf numFmtId="0" fontId="113" fillId="16" borderId="142" xfId="0" applyFont="1" applyFill="1" applyBorder="1" applyAlignment="1" applyProtection="1">
      <alignment horizontal="left" vertical="center"/>
      <protection hidden="1"/>
    </xf>
    <xf numFmtId="0" fontId="113" fillId="16" borderId="146" xfId="0" applyFont="1" applyFill="1" applyBorder="1" applyAlignment="1" applyProtection="1">
      <alignment horizontal="left" vertical="center"/>
      <protection hidden="1"/>
    </xf>
    <xf numFmtId="0" fontId="113" fillId="16" borderId="147" xfId="0" applyFont="1" applyFill="1" applyBorder="1">
      <alignment vertical="center"/>
    </xf>
    <xf numFmtId="0" fontId="117" fillId="0" borderId="76" xfId="0" applyFont="1" applyBorder="1" applyProtection="1">
      <alignment vertical="center"/>
      <protection hidden="1"/>
    </xf>
    <xf numFmtId="49" fontId="118" fillId="16" borderId="135" xfId="0" applyNumberFormat="1" applyFont="1" applyFill="1" applyBorder="1" applyAlignment="1" applyProtection="1">
      <alignment horizontal="center" vertical="center" wrapText="1"/>
      <protection hidden="1"/>
    </xf>
    <xf numFmtId="0" fontId="120" fillId="16" borderId="136" xfId="0" applyFont="1" applyFill="1" applyBorder="1" applyAlignment="1" applyProtection="1">
      <alignment horizontal="center" vertical="center" wrapText="1"/>
      <protection hidden="1"/>
    </xf>
    <xf numFmtId="42" fontId="120" fillId="16" borderId="153" xfId="14" applyFont="1" applyFill="1" applyBorder="1" applyAlignment="1" applyProtection="1">
      <alignment horizontal="center" vertical="center" wrapText="1"/>
      <protection hidden="1"/>
    </xf>
    <xf numFmtId="42" fontId="120" fillId="16" borderId="137" xfId="14" applyFont="1" applyFill="1" applyBorder="1" applyAlignment="1" applyProtection="1">
      <alignment horizontal="center" vertical="center" wrapText="1"/>
      <protection hidden="1"/>
    </xf>
    <xf numFmtId="49" fontId="121" fillId="0" borderId="142" xfId="0" applyNumberFormat="1" applyFont="1" applyBorder="1" applyAlignment="1" applyProtection="1">
      <alignment horizontal="center" vertical="center" wrapText="1"/>
      <protection locked="0"/>
    </xf>
    <xf numFmtId="189" fontId="123" fillId="0" borderId="124" xfId="0" applyNumberFormat="1" applyFont="1" applyBorder="1" applyAlignment="1" applyProtection="1">
      <alignment horizontal="center" vertical="center" wrapText="1"/>
      <protection locked="0"/>
    </xf>
    <xf numFmtId="0" fontId="123" fillId="0" borderId="124" xfId="14" applyNumberFormat="1" applyFont="1" applyFill="1" applyBorder="1" applyAlignment="1" applyProtection="1">
      <alignment horizontal="center" vertical="center" wrapText="1"/>
      <protection locked="0"/>
    </xf>
    <xf numFmtId="190" fontId="123" fillId="0" borderId="155" xfId="14" applyNumberFormat="1" applyFont="1" applyFill="1" applyBorder="1" applyAlignment="1" applyProtection="1">
      <alignment horizontal="right" vertical="center" wrapText="1"/>
      <protection locked="0" hidden="1"/>
    </xf>
    <xf numFmtId="0" fontId="124" fillId="0" borderId="0" xfId="0" applyFont="1" applyProtection="1">
      <alignment vertical="center"/>
      <protection hidden="1"/>
    </xf>
    <xf numFmtId="0" fontId="125" fillId="0" borderId="142" xfId="0" applyFont="1" applyBorder="1" applyProtection="1">
      <alignment vertical="center"/>
      <protection locked="0"/>
    </xf>
    <xf numFmtId="189" fontId="125" fillId="0" borderId="17" xfId="14" applyNumberFormat="1" applyFont="1" applyFill="1" applyBorder="1" applyAlignment="1" applyProtection="1">
      <alignment horizontal="center" vertical="center" wrapText="1"/>
      <protection locked="0"/>
    </xf>
    <xf numFmtId="0" fontId="125" fillId="0" borderId="17" xfId="14" applyNumberFormat="1" applyFont="1" applyFill="1" applyBorder="1" applyAlignment="1" applyProtection="1">
      <alignment horizontal="center" vertical="center" wrapText="1"/>
      <protection locked="0"/>
    </xf>
    <xf numFmtId="0" fontId="0" fillId="0" borderId="156" xfId="0" applyBorder="1" applyProtection="1">
      <alignment vertical="center"/>
      <protection locked="0"/>
    </xf>
    <xf numFmtId="49" fontId="121" fillId="0" borderId="146" xfId="0" applyNumberFormat="1" applyFont="1" applyBorder="1" applyAlignment="1" applyProtection="1">
      <alignment horizontal="center" vertical="center" wrapText="1"/>
      <protection locked="0"/>
    </xf>
    <xf numFmtId="189" fontId="125" fillId="0" borderId="151" xfId="14" applyNumberFormat="1" applyFont="1" applyFill="1" applyBorder="1" applyAlignment="1" applyProtection="1">
      <alignment horizontal="center" vertical="center" wrapText="1"/>
      <protection locked="0"/>
    </xf>
    <xf numFmtId="0" fontId="125" fillId="0" borderId="147" xfId="14" applyNumberFormat="1" applyFont="1" applyFill="1" applyBorder="1" applyAlignment="1" applyProtection="1">
      <alignment horizontal="center" vertical="center" wrapText="1"/>
      <protection locked="0"/>
    </xf>
    <xf numFmtId="42" fontId="118" fillId="5" borderId="159" xfId="14" applyFont="1" applyFill="1" applyBorder="1" applyAlignment="1" applyProtection="1">
      <alignment horizontal="center" vertical="center" wrapText="1"/>
      <protection hidden="1"/>
    </xf>
    <xf numFmtId="42" fontId="118" fillId="5" borderId="162" xfId="14" applyFont="1" applyFill="1" applyBorder="1" applyAlignment="1" applyProtection="1">
      <alignment horizontal="center" vertical="center" wrapText="1"/>
      <protection hidden="1"/>
    </xf>
    <xf numFmtId="42" fontId="118" fillId="5" borderId="163" xfId="14" applyFont="1" applyFill="1" applyBorder="1" applyAlignment="1" applyProtection="1">
      <alignment horizontal="center" vertical="center" wrapText="1"/>
      <protection hidden="1"/>
    </xf>
    <xf numFmtId="0" fontId="119" fillId="16" borderId="166" xfId="0" applyFont="1" applyFill="1" applyBorder="1" applyAlignment="1">
      <alignment horizontal="center" vertical="center" wrapText="1"/>
    </xf>
    <xf numFmtId="42" fontId="119" fillId="0" borderId="141" xfId="14" applyFont="1" applyFill="1" applyBorder="1" applyAlignment="1" applyProtection="1">
      <alignment horizontal="center" vertical="center" wrapText="1"/>
      <protection locked="0"/>
    </xf>
    <xf numFmtId="42" fontId="118" fillId="12" borderId="70" xfId="14" applyFont="1" applyFill="1" applyBorder="1" applyAlignment="1" applyProtection="1">
      <alignment vertical="center" wrapText="1"/>
      <protection locked="0"/>
    </xf>
    <xf numFmtId="42" fontId="118" fillId="12" borderId="71" xfId="14" applyFont="1" applyFill="1" applyBorder="1" applyAlignment="1" applyProtection="1">
      <alignment vertical="center" wrapText="1"/>
      <protection locked="0"/>
    </xf>
    <xf numFmtId="0" fontId="119" fillId="16" borderId="168" xfId="0" applyFont="1" applyFill="1" applyBorder="1" applyAlignment="1">
      <alignment horizontal="center" vertical="center" wrapText="1"/>
    </xf>
    <xf numFmtId="42" fontId="119" fillId="0" borderId="145" xfId="14" applyFont="1" applyFill="1" applyBorder="1" applyAlignment="1" applyProtection="1">
      <alignment horizontal="center" vertical="center" wrapText="1"/>
      <protection locked="0"/>
    </xf>
    <xf numFmtId="42" fontId="118" fillId="12" borderId="0" xfId="14" applyFont="1" applyFill="1" applyBorder="1" applyAlignment="1" applyProtection="1">
      <alignment vertical="center" wrapText="1"/>
      <protection locked="0"/>
    </xf>
    <xf numFmtId="42" fontId="118" fillId="12" borderId="73" xfId="14" applyFont="1" applyFill="1" applyBorder="1" applyAlignment="1" applyProtection="1">
      <alignment vertical="center" wrapText="1"/>
      <protection locked="0"/>
    </xf>
    <xf numFmtId="0" fontId="119" fillId="16" borderId="175" xfId="0" applyFont="1" applyFill="1" applyBorder="1" applyAlignment="1">
      <alignment horizontal="center" vertical="center" wrapText="1"/>
    </xf>
    <xf numFmtId="42" fontId="119" fillId="0" borderId="152" xfId="14" applyFont="1" applyFill="1" applyBorder="1" applyAlignment="1" applyProtection="1">
      <alignment horizontal="center" vertical="center" wrapText="1"/>
      <protection locked="0"/>
    </xf>
    <xf numFmtId="42" fontId="118" fillId="12" borderId="76" xfId="14" applyFont="1" applyFill="1" applyBorder="1" applyAlignment="1" applyProtection="1">
      <alignment vertical="center" wrapText="1"/>
      <protection locked="0"/>
    </xf>
    <xf numFmtId="42" fontId="118" fillId="12" borderId="77" xfId="14" applyFont="1" applyFill="1" applyBorder="1" applyAlignment="1" applyProtection="1">
      <alignment vertical="center" wrapText="1"/>
      <protection locked="0"/>
    </xf>
    <xf numFmtId="0" fontId="69" fillId="0" borderId="0" xfId="0" applyFont="1" applyAlignment="1">
      <alignment horizontal="left" vertical="center"/>
    </xf>
    <xf numFmtId="0" fontId="128" fillId="0" borderId="0" xfId="0" applyFont="1" applyAlignment="1">
      <alignment horizontal="center" vertical="center"/>
    </xf>
    <xf numFmtId="42" fontId="128" fillId="0" borderId="0" xfId="14" applyFont="1" applyFill="1" applyBorder="1" applyAlignment="1">
      <alignment horizontal="center" vertical="center"/>
    </xf>
    <xf numFmtId="42" fontId="0" fillId="0" borderId="0" xfId="14" applyFont="1" applyBorder="1">
      <alignment vertical="center"/>
    </xf>
    <xf numFmtId="42" fontId="0" fillId="0" borderId="0" xfId="14" applyFont="1">
      <alignment vertical="center"/>
    </xf>
    <xf numFmtId="0" fontId="128" fillId="0" borderId="0" xfId="0" applyFont="1" applyAlignment="1">
      <alignment horizontal="left" vertical="center"/>
    </xf>
    <xf numFmtId="0" fontId="129" fillId="0" borderId="0" xfId="0" applyFont="1" applyAlignment="1">
      <alignment horizontal="left" vertical="center"/>
    </xf>
    <xf numFmtId="0" fontId="97" fillId="0" borderId="14" xfId="0" applyFont="1" applyBorder="1" applyAlignment="1">
      <alignment horizontal="left" vertical="center"/>
    </xf>
    <xf numFmtId="0" fontId="96" fillId="0" borderId="13" xfId="0" applyFont="1" applyBorder="1" applyAlignment="1">
      <alignment horizontal="left" vertical="center"/>
    </xf>
    <xf numFmtId="0" fontId="96" fillId="0" borderId="14" xfId="0" applyFont="1" applyBorder="1" applyAlignment="1">
      <alignment horizontal="left" vertical="center"/>
    </xf>
    <xf numFmtId="0" fontId="97" fillId="0" borderId="13" xfId="0" applyFont="1" applyBorder="1" applyAlignment="1">
      <alignment horizontal="left" vertical="center" wrapText="1"/>
    </xf>
    <xf numFmtId="0" fontId="97" fillId="0" borderId="0" xfId="0" applyFont="1" applyAlignment="1">
      <alignment horizontal="left" vertical="center" wrapText="1"/>
    </xf>
    <xf numFmtId="0" fontId="97" fillId="0" borderId="14" xfId="0" applyFont="1" applyBorder="1" applyAlignment="1">
      <alignment horizontal="left" vertical="center" wrapText="1"/>
    </xf>
    <xf numFmtId="0" fontId="99" fillId="0" borderId="13" xfId="0" applyFont="1" applyBorder="1" applyAlignment="1">
      <alignment horizontal="left" vertical="center"/>
    </xf>
    <xf numFmtId="0" fontId="97" fillId="0" borderId="23" xfId="0" applyFont="1" applyBorder="1" applyAlignment="1">
      <alignment horizontal="left" vertical="center"/>
    </xf>
    <xf numFmtId="0" fontId="97" fillId="0" borderId="26" xfId="0" applyFont="1" applyBorder="1" applyAlignment="1">
      <alignment horizontal="left" vertical="center"/>
    </xf>
    <xf numFmtId="176" fontId="96" fillId="0" borderId="13" xfId="0" applyNumberFormat="1" applyFont="1" applyBorder="1" applyAlignment="1">
      <alignment horizontal="center" vertical="center"/>
    </xf>
    <xf numFmtId="176" fontId="96" fillId="0" borderId="0" xfId="0" applyNumberFormat="1" applyFont="1" applyAlignment="1">
      <alignment horizontal="center" vertical="center"/>
    </xf>
    <xf numFmtId="176" fontId="96" fillId="0" borderId="14" xfId="0" applyNumberFormat="1" applyFont="1" applyBorder="1" applyAlignment="1">
      <alignment horizontal="center" vertical="center"/>
    </xf>
    <xf numFmtId="0" fontId="101" fillId="0" borderId="15" xfId="0" applyFont="1" applyBorder="1" applyAlignment="1">
      <alignment horizontal="center" vertical="center"/>
    </xf>
    <xf numFmtId="0" fontId="101" fillId="0" borderId="16" xfId="0" applyFont="1" applyBorder="1" applyAlignment="1">
      <alignment horizontal="center" vertical="center"/>
    </xf>
    <xf numFmtId="0" fontId="97" fillId="0" borderId="13" xfId="0" applyFont="1" applyBorder="1" applyAlignment="1">
      <alignment horizontal="center" vertical="center"/>
    </xf>
    <xf numFmtId="0" fontId="97" fillId="0" borderId="0" xfId="0" applyFont="1" applyAlignment="1">
      <alignment horizontal="center" vertical="center"/>
    </xf>
    <xf numFmtId="0" fontId="97" fillId="0" borderId="14" xfId="0" applyFont="1" applyBorder="1" applyAlignment="1">
      <alignment horizontal="center" vertical="center"/>
    </xf>
    <xf numFmtId="0" fontId="97" fillId="0" borderId="13" xfId="0" quotePrefix="1" applyFont="1" applyBorder="1" applyAlignment="1">
      <alignment horizontal="left" vertical="center"/>
    </xf>
    <xf numFmtId="0" fontId="97" fillId="0" borderId="0" xfId="0" quotePrefix="1" applyFont="1" applyAlignment="1">
      <alignment horizontal="left" vertical="center"/>
    </xf>
    <xf numFmtId="0" fontId="97" fillId="0" borderId="0" xfId="0" quotePrefix="1" applyFont="1" applyAlignment="1">
      <alignment horizontal="left" vertical="center" wrapText="1"/>
    </xf>
    <xf numFmtId="177" fontId="95" fillId="0" borderId="15" xfId="0" applyNumberFormat="1" applyFont="1" applyBorder="1" applyAlignment="1">
      <alignment horizontal="center" vertical="center"/>
    </xf>
    <xf numFmtId="0" fontId="95" fillId="0" borderId="15" xfId="0" applyFont="1" applyBorder="1" applyAlignment="1">
      <alignment horizontal="center" vertical="center" wrapText="1"/>
    </xf>
    <xf numFmtId="0" fontId="97" fillId="0" borderId="17" xfId="0" applyFont="1" applyBorder="1" applyAlignment="1">
      <alignment horizontal="center" vertical="center" wrapText="1"/>
    </xf>
    <xf numFmtId="0" fontId="95" fillId="0" borderId="17" xfId="0" applyFont="1" applyBorder="1" applyAlignment="1">
      <alignment horizontal="left" vertical="center" wrapText="1"/>
    </xf>
    <xf numFmtId="0" fontId="95" fillId="0" borderId="19" xfId="0" applyFont="1" applyBorder="1" applyAlignment="1">
      <alignment horizontal="left" vertical="center" wrapText="1"/>
    </xf>
    <xf numFmtId="49" fontId="132" fillId="0" borderId="0" xfId="0" applyNumberFormat="1" applyFont="1">
      <alignment vertical="center"/>
    </xf>
    <xf numFmtId="0" fontId="133" fillId="0" borderId="0" xfId="0" applyFont="1" applyAlignment="1">
      <alignment horizontal="left" vertical="center"/>
    </xf>
    <xf numFmtId="0" fontId="133" fillId="0" borderId="14" xfId="0" applyFont="1" applyBorder="1" applyAlignment="1">
      <alignment horizontal="left" vertical="center"/>
    </xf>
    <xf numFmtId="0" fontId="131" fillId="0" borderId="0" xfId="0" applyFont="1">
      <alignment vertical="center"/>
    </xf>
    <xf numFmtId="0" fontId="89" fillId="0" borderId="0" xfId="0" applyFont="1">
      <alignment vertical="center"/>
    </xf>
    <xf numFmtId="0" fontId="22" fillId="0" borderId="35" xfId="0" quotePrefix="1" applyFont="1" applyBorder="1" applyAlignment="1">
      <alignment horizontal="center" vertical="top"/>
    </xf>
    <xf numFmtId="0" fontId="22" fillId="0" borderId="30" xfId="0" applyFont="1" applyBorder="1" applyAlignment="1">
      <alignment horizontal="center" vertical="center"/>
    </xf>
    <xf numFmtId="0" fontId="22" fillId="10" borderId="35" xfId="0" applyFont="1" applyFill="1" applyBorder="1" applyAlignment="1">
      <alignment horizontal="center" vertical="center"/>
    </xf>
    <xf numFmtId="0" fontId="22" fillId="10" borderId="35" xfId="0" applyFont="1" applyFill="1" applyBorder="1" applyAlignment="1">
      <alignment horizontal="center" vertical="center" wrapText="1"/>
    </xf>
    <xf numFmtId="49" fontId="133" fillId="0" borderId="13" xfId="0" applyNumberFormat="1" applyFont="1" applyBorder="1">
      <alignment vertical="center"/>
    </xf>
    <xf numFmtId="177" fontId="95" fillId="0" borderId="0" xfId="0" applyNumberFormat="1" applyFont="1" applyAlignment="1">
      <alignment horizontal="center" vertical="center"/>
    </xf>
    <xf numFmtId="0" fontId="37" fillId="0" borderId="30" xfId="0" applyFont="1" applyBorder="1">
      <alignment vertical="center"/>
    </xf>
    <xf numFmtId="0" fontId="37" fillId="0" borderId="31" xfId="0" applyFont="1" applyBorder="1">
      <alignment vertical="center"/>
    </xf>
    <xf numFmtId="0" fontId="22" fillId="0" borderId="30" xfId="0" quotePrefix="1" applyFont="1" applyBorder="1" applyAlignment="1">
      <alignment vertical="top"/>
    </xf>
    <xf numFmtId="0" fontId="22" fillId="0" borderId="31" xfId="0" quotePrefix="1" applyFont="1" applyBorder="1" applyAlignment="1">
      <alignment vertical="top"/>
    </xf>
    <xf numFmtId="0" fontId="44" fillId="0" borderId="30" xfId="0" applyFont="1" applyBorder="1">
      <alignment vertical="center"/>
    </xf>
    <xf numFmtId="0" fontId="44" fillId="0" borderId="31" xfId="0" applyFont="1" applyBorder="1">
      <alignment vertical="center"/>
    </xf>
    <xf numFmtId="0" fontId="22" fillId="0" borderId="31" xfId="0" applyFont="1" applyBorder="1">
      <alignment vertical="center"/>
    </xf>
    <xf numFmtId="0" fontId="99" fillId="0" borderId="0" xfId="0" applyFont="1" applyAlignment="1">
      <alignment horizontal="left" vertical="center"/>
    </xf>
    <xf numFmtId="0" fontId="99" fillId="0" borderId="14" xfId="0" applyFont="1" applyBorder="1" applyAlignment="1">
      <alignment horizontal="left" vertical="center"/>
    </xf>
    <xf numFmtId="0" fontId="32" fillId="0" borderId="35" xfId="0" applyFont="1" applyBorder="1" applyAlignment="1">
      <alignment horizontal="center" vertical="center" wrapText="1"/>
    </xf>
    <xf numFmtId="0" fontId="96" fillId="0" borderId="14" xfId="0" applyFont="1" applyBorder="1" applyAlignment="1">
      <alignment horizontal="left" vertical="center" wrapText="1"/>
    </xf>
    <xf numFmtId="49" fontId="23" fillId="0" borderId="0" xfId="0" applyNumberFormat="1" applyFont="1">
      <alignment vertical="center"/>
    </xf>
    <xf numFmtId="0" fontId="98" fillId="0" borderId="13" xfId="0" applyFont="1" applyBorder="1" applyAlignment="1">
      <alignment horizontal="left" vertical="center" wrapText="1"/>
    </xf>
    <xf numFmtId="49" fontId="98" fillId="0" borderId="13" xfId="0" applyNumberFormat="1" applyFont="1" applyBorder="1">
      <alignment vertical="center"/>
    </xf>
    <xf numFmtId="0" fontId="99" fillId="0" borderId="0" xfId="0" applyFont="1">
      <alignment vertical="center"/>
    </xf>
    <xf numFmtId="0" fontId="98" fillId="0" borderId="15" xfId="0" applyFont="1" applyBorder="1">
      <alignment vertical="center"/>
    </xf>
    <xf numFmtId="0" fontId="99" fillId="0" borderId="25" xfId="0" applyFont="1" applyBorder="1" applyAlignment="1">
      <alignment horizontal="left" vertical="center"/>
    </xf>
    <xf numFmtId="0" fontId="98" fillId="0" borderId="13" xfId="0" applyFont="1" applyBorder="1">
      <alignment vertical="center"/>
    </xf>
    <xf numFmtId="0" fontId="98" fillId="0" borderId="17" xfId="0" applyFont="1" applyBorder="1" applyAlignment="1">
      <alignment horizontal="center" vertical="center"/>
    </xf>
    <xf numFmtId="0" fontId="98" fillId="0" borderId="0" xfId="0" applyFont="1" applyAlignment="1">
      <alignment horizontal="left" vertical="center" wrapText="1"/>
    </xf>
    <xf numFmtId="0" fontId="98" fillId="0" borderId="14" xfId="0" applyFont="1" applyBorder="1" applyAlignment="1">
      <alignment horizontal="left" vertical="center" wrapText="1"/>
    </xf>
    <xf numFmtId="0" fontId="32" fillId="0" borderId="35" xfId="5" applyNumberFormat="1" applyFont="1" applyFill="1" applyBorder="1" applyAlignment="1">
      <alignment horizontal="center" vertical="center" wrapText="1"/>
    </xf>
    <xf numFmtId="0" fontId="89" fillId="0" borderId="30" xfId="0" applyFont="1" applyBorder="1">
      <alignment vertical="center"/>
    </xf>
    <xf numFmtId="0" fontId="138" fillId="0" borderId="0" xfId="0" applyFont="1" applyAlignment="1">
      <alignment horizontal="left" vertical="center" indent="2"/>
    </xf>
    <xf numFmtId="0" fontId="97" fillId="0" borderId="10" xfId="0" applyFont="1" applyBorder="1" applyAlignment="1">
      <alignment horizontal="left" vertical="center" wrapText="1"/>
    </xf>
    <xf numFmtId="0" fontId="97" fillId="0" borderId="25" xfId="0" applyFont="1" applyBorder="1" applyAlignment="1">
      <alignment horizontal="left" vertical="center"/>
    </xf>
    <xf numFmtId="0" fontId="97" fillId="0" borderId="15" xfId="0" applyFont="1" applyBorder="1" applyAlignment="1">
      <alignment horizontal="left" vertical="center"/>
    </xf>
    <xf numFmtId="0" fontId="97" fillId="0" borderId="24" xfId="0" applyFont="1" applyBorder="1" applyAlignment="1">
      <alignment horizontal="left" vertical="center"/>
    </xf>
    <xf numFmtId="0" fontId="96" fillId="0" borderId="0" xfId="0" applyFont="1" applyAlignment="1">
      <alignment horizontal="right" vertical="center"/>
    </xf>
    <xf numFmtId="0" fontId="17" fillId="10" borderId="178" xfId="0" applyFont="1" applyFill="1" applyBorder="1" applyAlignment="1">
      <alignment horizontal="center" vertical="center" wrapText="1"/>
    </xf>
    <xf numFmtId="176" fontId="17" fillId="0" borderId="178" xfId="0" applyNumberFormat="1" applyFont="1" applyBorder="1" applyAlignment="1">
      <alignment horizontal="center" vertical="center" wrapText="1"/>
    </xf>
    <xf numFmtId="0" fontId="17" fillId="0" borderId="178" xfId="0" applyFont="1" applyBorder="1" applyAlignment="1">
      <alignment horizontal="center" vertical="center" wrapText="1"/>
    </xf>
    <xf numFmtId="0" fontId="9" fillId="0" borderId="178" xfId="0" applyFont="1" applyBorder="1" applyAlignment="1">
      <alignment horizontal="center" vertical="center"/>
    </xf>
    <xf numFmtId="41" fontId="9" fillId="0" borderId="178" xfId="5" applyFont="1" applyBorder="1" applyAlignment="1">
      <alignment horizontal="center" vertical="center"/>
    </xf>
    <xf numFmtId="0" fontId="32" fillId="0" borderId="178" xfId="0" applyFont="1" applyBorder="1" applyAlignment="1">
      <alignment horizontal="center" vertical="center" wrapText="1"/>
    </xf>
    <xf numFmtId="41" fontId="17" fillId="0" borderId="178" xfId="5" applyFont="1" applyBorder="1" applyAlignment="1">
      <alignment horizontal="center" vertical="center"/>
    </xf>
    <xf numFmtId="14" fontId="17" fillId="0" borderId="0" xfId="0" applyNumberFormat="1" applyFont="1" applyAlignment="1">
      <alignment horizontal="center" vertical="center" wrapText="1"/>
    </xf>
    <xf numFmtId="0" fontId="22" fillId="10" borderId="97" xfId="0" applyFont="1" applyFill="1" applyBorder="1" applyAlignment="1">
      <alignment horizontal="left" vertical="center" indent="1"/>
    </xf>
    <xf numFmtId="0" fontId="19" fillId="0" borderId="0" xfId="0" applyFont="1" applyAlignment="1">
      <alignment horizontal="center" vertical="center"/>
    </xf>
    <xf numFmtId="0" fontId="22" fillId="0" borderId="0" xfId="0" applyFont="1" applyAlignment="1">
      <alignment horizontal="left" vertical="center" indent="1"/>
    </xf>
    <xf numFmtId="49" fontId="22" fillId="0" borderId="0" xfId="0" applyNumberFormat="1" applyFont="1" applyAlignment="1">
      <alignment horizontal="left" vertical="top" wrapText="1"/>
    </xf>
    <xf numFmtId="0" fontId="44" fillId="0" borderId="0" xfId="0" applyFont="1" applyAlignment="1">
      <alignment horizontal="right" vertical="center"/>
    </xf>
    <xf numFmtId="49" fontId="65" fillId="0" borderId="0" xfId="4" applyNumberFormat="1" applyFont="1" applyFill="1" applyBorder="1" applyAlignment="1">
      <alignment horizontal="center" vertical="center"/>
    </xf>
    <xf numFmtId="0" fontId="9" fillId="0" borderId="28" xfId="0" applyFont="1" applyBorder="1">
      <alignment vertical="center"/>
    </xf>
    <xf numFmtId="0" fontId="38" fillId="0" borderId="19" xfId="0" applyFont="1" applyBorder="1" applyAlignment="1">
      <alignment vertical="center" wrapText="1"/>
    </xf>
    <xf numFmtId="0" fontId="27" fillId="20" borderId="195" xfId="0" applyFont="1" applyFill="1" applyBorder="1" applyAlignment="1">
      <alignment horizontal="center" vertical="center"/>
    </xf>
    <xf numFmtId="0" fontId="27" fillId="20" borderId="196" xfId="0" applyFont="1" applyFill="1" applyBorder="1" applyAlignment="1">
      <alignment horizontal="center" vertical="center"/>
    </xf>
    <xf numFmtId="0" fontId="28" fillId="20" borderId="17" xfId="0" applyFont="1" applyFill="1" applyBorder="1" applyAlignment="1">
      <alignment horizontal="center" vertical="center"/>
    </xf>
    <xf numFmtId="0" fontId="28" fillId="0" borderId="196" xfId="0" applyFont="1" applyBorder="1">
      <alignment vertical="center"/>
    </xf>
    <xf numFmtId="0" fontId="38" fillId="19" borderId="19" xfId="0" applyFont="1" applyFill="1" applyBorder="1" applyAlignment="1">
      <alignment horizontal="center" vertical="center" wrapText="1"/>
    </xf>
    <xf numFmtId="0" fontId="28" fillId="20" borderId="195" xfId="0" applyFont="1" applyFill="1" applyBorder="1" applyAlignment="1">
      <alignment horizontal="center" vertical="center"/>
    </xf>
    <xf numFmtId="0" fontId="24" fillId="0" borderId="0" xfId="0" applyFont="1" applyAlignment="1">
      <alignment horizontal="left" vertical="top" wrapText="1"/>
    </xf>
    <xf numFmtId="0" fontId="19" fillId="0" borderId="0" xfId="0" applyFont="1" applyAlignment="1">
      <alignment horizontal="center" vertical="center" wrapText="1"/>
    </xf>
    <xf numFmtId="0" fontId="70" fillId="0" borderId="0" xfId="0" applyFont="1" applyAlignment="1">
      <alignment horizontal="center" vertical="center"/>
    </xf>
    <xf numFmtId="0" fontId="0" fillId="5" borderId="15" xfId="0" applyFill="1" applyBorder="1">
      <alignment vertical="center"/>
    </xf>
    <xf numFmtId="0" fontId="9" fillId="0" borderId="11" xfId="0" applyFont="1" applyBorder="1" applyAlignment="1">
      <alignment horizontal="left" vertical="center"/>
    </xf>
    <xf numFmtId="0" fontId="9" fillId="0" borderId="11" xfId="0" applyFont="1" applyBorder="1">
      <alignment vertical="center"/>
    </xf>
    <xf numFmtId="0" fontId="9" fillId="0" borderId="10" xfId="0" applyFont="1" applyBorder="1" applyAlignment="1">
      <alignment horizontal="left" vertical="center"/>
    </xf>
    <xf numFmtId="0" fontId="9" fillId="0" borderId="12" xfId="0" applyFont="1" applyBorder="1">
      <alignment vertical="center"/>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0" fillId="0" borderId="13" xfId="0" applyBorder="1">
      <alignment vertical="center"/>
    </xf>
    <xf numFmtId="0" fontId="0" fillId="0" borderId="14" xfId="0" applyBorder="1">
      <alignment vertical="center"/>
    </xf>
    <xf numFmtId="0" fontId="24" fillId="0" borderId="14" xfId="0" applyFont="1" applyBorder="1">
      <alignment vertical="center"/>
    </xf>
    <xf numFmtId="49" fontId="25" fillId="0" borderId="14" xfId="0" applyNumberFormat="1" applyFont="1" applyBorder="1">
      <alignment vertical="center"/>
    </xf>
    <xf numFmtId="0" fontId="20" fillId="0" borderId="14" xfId="0" applyFont="1" applyBorder="1">
      <alignment vertical="center"/>
    </xf>
    <xf numFmtId="0" fontId="131" fillId="0" borderId="14" xfId="0" applyFont="1" applyBorder="1">
      <alignment vertical="center"/>
    </xf>
    <xf numFmtId="0" fontId="0" fillId="0" borderId="25" xfId="0" applyBorder="1">
      <alignment vertical="center"/>
    </xf>
    <xf numFmtId="0" fontId="0" fillId="0" borderId="24" xfId="0" applyBorder="1">
      <alignment vertical="center"/>
    </xf>
    <xf numFmtId="0" fontId="23" fillId="0" borderId="0" xfId="0" applyFont="1" applyAlignment="1">
      <alignment vertical="top"/>
    </xf>
    <xf numFmtId="0" fontId="9" fillId="0" borderId="10" xfId="0" applyFont="1" applyBorder="1">
      <alignment vertical="center"/>
    </xf>
    <xf numFmtId="0" fontId="9" fillId="0" borderId="13" xfId="0" applyFont="1" applyBorder="1">
      <alignment vertical="center"/>
    </xf>
    <xf numFmtId="0" fontId="19" fillId="0" borderId="14" xfId="0" applyFont="1" applyBorder="1" applyAlignment="1">
      <alignment horizontal="center" vertical="center" wrapText="1"/>
    </xf>
    <xf numFmtId="0" fontId="22" fillId="0" borderId="14" xfId="0" applyFont="1" applyBorder="1">
      <alignment vertical="center"/>
    </xf>
    <xf numFmtId="0" fontId="24" fillId="0" borderId="14" xfId="0" applyFont="1" applyBorder="1" applyAlignment="1">
      <alignment vertical="center" wrapText="1"/>
    </xf>
    <xf numFmtId="0" fontId="28" fillId="0" borderId="14" xfId="0" applyFont="1" applyBorder="1">
      <alignment vertical="center"/>
    </xf>
    <xf numFmtId="0" fontId="43" fillId="0" borderId="14" xfId="0" applyFont="1" applyBorder="1">
      <alignment vertical="center"/>
    </xf>
    <xf numFmtId="0" fontId="143" fillId="0" borderId="14" xfId="0" applyFont="1" applyBorder="1">
      <alignment vertical="center"/>
    </xf>
    <xf numFmtId="0" fontId="7" fillId="0" borderId="14" xfId="0" applyFont="1" applyBorder="1">
      <alignment vertical="center"/>
    </xf>
    <xf numFmtId="0" fontId="24" fillId="0" borderId="14" xfId="0" applyFont="1" applyBorder="1" applyAlignment="1">
      <alignment horizontal="left" vertical="top" wrapText="1"/>
    </xf>
    <xf numFmtId="0" fontId="43" fillId="0" borderId="1" xfId="0" applyFont="1" applyBorder="1" applyAlignment="1">
      <alignment horizontal="left" vertical="center"/>
    </xf>
    <xf numFmtId="0" fontId="43" fillId="0" borderId="8" xfId="0" applyFont="1" applyBorder="1" applyAlignment="1">
      <alignment horizontal="left" vertical="center"/>
    </xf>
    <xf numFmtId="0" fontId="43" fillId="0" borderId="2" xfId="0" applyFont="1" applyBorder="1" applyAlignment="1">
      <alignment horizontal="left" vertical="center"/>
    </xf>
    <xf numFmtId="0" fontId="22" fillId="0" borderId="1" xfId="0" applyFont="1" applyBorder="1" applyAlignment="1">
      <alignment horizontal="left" vertical="center"/>
    </xf>
    <xf numFmtId="0" fontId="22" fillId="0" borderId="8" xfId="0" applyFont="1" applyBorder="1" applyAlignment="1">
      <alignment horizontal="left" vertical="center"/>
    </xf>
    <xf numFmtId="0" fontId="22" fillId="0" borderId="2" xfId="0" applyFont="1" applyBorder="1" applyAlignment="1">
      <alignment horizontal="left" vertical="center"/>
    </xf>
    <xf numFmtId="0" fontId="7" fillId="0" borderId="1" xfId="0" applyFont="1" applyBorder="1" applyAlignment="1">
      <alignment horizontal="left" vertical="center"/>
    </xf>
    <xf numFmtId="0" fontId="7" fillId="0" borderId="8" xfId="0" applyFont="1" applyBorder="1" applyAlignment="1">
      <alignment horizontal="left" vertical="center"/>
    </xf>
    <xf numFmtId="0" fontId="7" fillId="0" borderId="2" xfId="0" applyFont="1" applyBorder="1" applyAlignment="1">
      <alignment horizontal="left" vertical="center"/>
    </xf>
    <xf numFmtId="0" fontId="7" fillId="0" borderId="115" xfId="0" applyFont="1" applyBorder="1" applyAlignment="1">
      <alignment horizontal="left" vertical="center"/>
    </xf>
    <xf numFmtId="0" fontId="7" fillId="0" borderId="116" xfId="0" applyFont="1" applyBorder="1" applyAlignment="1">
      <alignment horizontal="left" vertical="center"/>
    </xf>
    <xf numFmtId="0" fontId="43" fillId="0" borderId="115" xfId="0" applyFont="1" applyBorder="1" applyAlignment="1">
      <alignment horizontal="left" vertical="center"/>
    </xf>
    <xf numFmtId="0" fontId="43" fillId="0" borderId="116" xfId="0" applyFont="1" applyBorder="1" applyAlignment="1">
      <alignment horizontal="left" vertical="center"/>
    </xf>
    <xf numFmtId="0" fontId="22" fillId="0" borderId="115" xfId="0" applyFont="1" applyBorder="1" applyAlignment="1">
      <alignment horizontal="left" vertical="center"/>
    </xf>
    <xf numFmtId="0" fontId="22" fillId="0" borderId="117" xfId="0" applyFont="1" applyBorder="1" applyAlignment="1">
      <alignment horizontal="left" vertical="center"/>
    </xf>
    <xf numFmtId="0" fontId="22" fillId="0" borderId="116" xfId="0" applyFont="1" applyBorder="1" applyAlignment="1">
      <alignment horizontal="left" vertical="center"/>
    </xf>
    <xf numFmtId="0" fontId="70" fillId="0" borderId="0" xfId="0" applyFont="1">
      <alignment vertical="center"/>
    </xf>
    <xf numFmtId="0" fontId="24" fillId="0" borderId="14" xfId="0" applyFont="1" applyBorder="1" applyAlignment="1">
      <alignment horizontal="left" vertical="center" wrapText="1"/>
    </xf>
    <xf numFmtId="0" fontId="70" fillId="0" borderId="15" xfId="0" applyFont="1" applyBorder="1" applyAlignment="1">
      <alignment horizontal="center" vertical="center"/>
    </xf>
    <xf numFmtId="0" fontId="24" fillId="0" borderId="0" xfId="0" applyFont="1" applyAlignment="1">
      <alignment horizontal="left" vertical="center"/>
    </xf>
    <xf numFmtId="176" fontId="24" fillId="0" borderId="0" xfId="0" applyNumberFormat="1" applyFont="1" applyAlignment="1">
      <alignment horizontal="center" vertical="center"/>
    </xf>
    <xf numFmtId="176" fontId="24" fillId="0" borderId="14" xfId="0" applyNumberFormat="1" applyFont="1" applyBorder="1" applyAlignment="1">
      <alignment horizontal="center" vertical="center"/>
    </xf>
    <xf numFmtId="0" fontId="19" fillId="0" borderId="13" xfId="0" applyFont="1" applyBorder="1" applyAlignment="1">
      <alignment horizontal="center" vertical="center" wrapText="1"/>
    </xf>
    <xf numFmtId="0" fontId="28" fillId="0" borderId="23" xfId="0" applyFont="1" applyBorder="1" applyAlignment="1">
      <alignment horizontal="left" vertical="center"/>
    </xf>
    <xf numFmtId="0" fontId="28" fillId="0" borderId="26" xfId="0" applyFont="1" applyBorder="1" applyAlignment="1">
      <alignment horizontal="left" vertical="center"/>
    </xf>
    <xf numFmtId="0" fontId="9" fillId="0" borderId="0" xfId="0" applyFont="1" applyAlignment="1">
      <alignment horizontal="center" vertical="center" wrapText="1"/>
    </xf>
    <xf numFmtId="0" fontId="20" fillId="0" borderId="0" xfId="0" applyFont="1" applyAlignment="1">
      <alignment horizontal="center" vertical="center"/>
    </xf>
    <xf numFmtId="0" fontId="89" fillId="0" borderId="0" xfId="0" applyFont="1" applyAlignment="1">
      <alignment horizontal="left" vertical="center"/>
    </xf>
    <xf numFmtId="0" fontId="23" fillId="0" borderId="0" xfId="0" applyFont="1">
      <alignment vertical="center"/>
    </xf>
    <xf numFmtId="0" fontId="23" fillId="0" borderId="0" xfId="0" applyFont="1" applyAlignment="1">
      <alignment horizontal="left" vertical="center"/>
    </xf>
    <xf numFmtId="0" fontId="89" fillId="0" borderId="0" xfId="0" applyFont="1" applyAlignment="1">
      <alignment vertical="top" wrapText="1"/>
    </xf>
    <xf numFmtId="0" fontId="89" fillId="0" borderId="14" xfId="0" applyFont="1" applyBorder="1" applyAlignment="1">
      <alignment vertical="top" wrapText="1"/>
    </xf>
    <xf numFmtId="0" fontId="23" fillId="0" borderId="0" xfId="0" applyFont="1" applyAlignment="1">
      <alignment vertical="top" wrapText="1"/>
    </xf>
    <xf numFmtId="0" fontId="23" fillId="0" borderId="14" xfId="0" applyFont="1" applyBorder="1" applyAlignment="1">
      <alignment vertical="top" wrapText="1"/>
    </xf>
    <xf numFmtId="0" fontId="89" fillId="0" borderId="0" xfId="0" applyFont="1" applyAlignment="1">
      <alignment vertical="top"/>
    </xf>
    <xf numFmtId="0" fontId="24" fillId="0" borderId="14" xfId="0" applyFont="1" applyBorder="1" applyAlignment="1">
      <alignment vertical="top" wrapText="1"/>
    </xf>
    <xf numFmtId="0" fontId="24" fillId="0" borderId="0" xfId="0" applyFont="1" applyAlignment="1">
      <alignment vertical="top"/>
    </xf>
    <xf numFmtId="0" fontId="24" fillId="0" borderId="0" xfId="0" applyFont="1" applyAlignment="1">
      <alignment horizontal="left" vertical="top"/>
    </xf>
    <xf numFmtId="15" fontId="23" fillId="0" borderId="0" xfId="0" applyNumberFormat="1" applyFont="1">
      <alignment vertical="center"/>
    </xf>
    <xf numFmtId="15" fontId="23" fillId="0" borderId="14" xfId="0" applyNumberFormat="1" applyFont="1" applyBorder="1">
      <alignment vertical="center"/>
    </xf>
    <xf numFmtId="0" fontId="23" fillId="0" borderId="14" xfId="0" applyFont="1" applyBorder="1" applyAlignment="1">
      <alignment horizontal="left" vertical="center" wrapText="1"/>
    </xf>
    <xf numFmtId="0" fontId="70" fillId="0" borderId="15" xfId="0" applyFont="1" applyBorder="1" applyAlignment="1">
      <alignment horizontal="left" vertical="center"/>
    </xf>
    <xf numFmtId="0" fontId="146" fillId="16" borderId="17" xfId="10" applyFont="1" applyFill="1" applyBorder="1" applyAlignment="1">
      <alignment horizontal="center" vertical="center" wrapText="1"/>
    </xf>
    <xf numFmtId="0" fontId="146" fillId="0" borderId="0" xfId="10" applyFont="1" applyAlignment="1">
      <alignment horizontal="right" vertical="center"/>
    </xf>
    <xf numFmtId="0" fontId="146" fillId="0" borderId="0" xfId="10" applyFont="1">
      <alignment vertical="center"/>
    </xf>
    <xf numFmtId="0" fontId="28" fillId="0" borderId="17" xfId="0" applyFont="1" applyBorder="1" applyAlignment="1">
      <alignment horizontal="left" vertical="center"/>
    </xf>
    <xf numFmtId="0" fontId="38" fillId="0" borderId="187" xfId="0" applyFont="1" applyBorder="1" applyAlignment="1">
      <alignment vertical="center" wrapText="1"/>
    </xf>
    <xf numFmtId="0" fontId="22" fillId="10" borderId="35" xfId="0" quotePrefix="1" applyFont="1" applyFill="1" applyBorder="1" applyAlignment="1">
      <alignment horizontal="center" vertical="center"/>
    </xf>
    <xf numFmtId="0" fontId="156" fillId="0" borderId="0" xfId="0" applyFont="1">
      <alignment vertical="center"/>
    </xf>
    <xf numFmtId="0" fontId="9" fillId="0" borderId="0" xfId="0" applyFont="1" applyAlignment="1">
      <alignment horizontal="right"/>
    </xf>
    <xf numFmtId="0" fontId="7" fillId="0" borderId="28" xfId="0" applyFont="1" applyBorder="1" applyAlignment="1"/>
    <xf numFmtId="0" fontId="157" fillId="0" borderId="0" xfId="0" applyFont="1" applyAlignment="1">
      <alignment horizontal="left" vertical="center"/>
    </xf>
    <xf numFmtId="0" fontId="8" fillId="0" borderId="0" xfId="0" applyFont="1">
      <alignment vertical="center"/>
    </xf>
    <xf numFmtId="0" fontId="164" fillId="0" borderId="0" xfId="0" applyFont="1" applyAlignment="1">
      <alignment horizontal="left" vertical="center"/>
    </xf>
    <xf numFmtId="0" fontId="0" fillId="0" borderId="200" xfId="0" applyBorder="1">
      <alignment vertical="center"/>
    </xf>
    <xf numFmtId="49" fontId="22" fillId="0" borderId="0" xfId="0" applyNumberFormat="1" applyFont="1" applyAlignment="1">
      <alignment horizontal="left" vertical="center"/>
    </xf>
    <xf numFmtId="0" fontId="23" fillId="0" borderId="0" xfId="0" applyFont="1" applyAlignment="1">
      <alignment horizontal="left" vertical="top"/>
    </xf>
    <xf numFmtId="0" fontId="89" fillId="0" borderId="0" xfId="0" applyFont="1" applyAlignment="1">
      <alignment horizontal="right" vertical="center" wrapText="1"/>
    </xf>
    <xf numFmtId="0" fontId="89" fillId="0" borderId="0" xfId="0" applyFont="1" applyAlignment="1">
      <alignment vertical="center" wrapText="1"/>
    </xf>
    <xf numFmtId="0" fontId="89" fillId="0" borderId="0" xfId="0" applyFont="1" applyAlignment="1">
      <alignment horizontal="right" vertical="top" wrapText="1"/>
    </xf>
    <xf numFmtId="0" fontId="22" fillId="0" borderId="0" xfId="0" applyFont="1" applyAlignment="1">
      <alignment horizontal="right"/>
    </xf>
    <xf numFmtId="0" fontId="7" fillId="20" borderId="0" xfId="0" applyFont="1" applyFill="1" applyAlignment="1">
      <alignment horizontal="left" vertical="center"/>
    </xf>
    <xf numFmtId="0" fontId="8" fillId="20" borderId="0" xfId="0" applyFont="1" applyFill="1" applyAlignment="1">
      <alignment horizontal="center" vertical="center"/>
    </xf>
    <xf numFmtId="0" fontId="7" fillId="20" borderId="0" xfId="0" applyFont="1" applyFill="1">
      <alignment vertical="center"/>
    </xf>
    <xf numFmtId="0" fontId="7" fillId="20" borderId="0" xfId="0" applyFont="1" applyFill="1" applyAlignment="1">
      <alignment horizontal="left" vertical="center" wrapText="1"/>
    </xf>
    <xf numFmtId="0" fontId="166" fillId="20" borderId="0" xfId="0" applyFont="1" applyFill="1" applyAlignment="1">
      <alignment horizontal="center" vertical="center"/>
    </xf>
    <xf numFmtId="0" fontId="32" fillId="20" borderId="0" xfId="0" applyFont="1" applyFill="1" applyAlignment="1">
      <alignment horizontal="center" vertical="center"/>
    </xf>
    <xf numFmtId="0" fontId="10" fillId="20" borderId="0" xfId="4" applyFill="1" applyBorder="1" applyAlignment="1">
      <alignment horizontal="center" vertical="center"/>
    </xf>
    <xf numFmtId="0" fontId="0" fillId="20" borderId="0" xfId="0" applyFill="1">
      <alignment vertical="center"/>
    </xf>
    <xf numFmtId="0" fontId="33" fillId="0" borderId="0" xfId="0" applyFont="1" applyAlignment="1">
      <alignment vertical="center" wrapText="1"/>
    </xf>
    <xf numFmtId="0" fontId="38" fillId="0" borderId="24" xfId="0" applyFont="1" applyBorder="1" applyAlignment="1">
      <alignment horizontal="center" vertical="center" wrapText="1"/>
    </xf>
    <xf numFmtId="0" fontId="38" fillId="0" borderId="15" xfId="0" applyFont="1" applyBorder="1" applyAlignment="1">
      <alignment horizontal="center" vertical="center"/>
    </xf>
    <xf numFmtId="0" fontId="38" fillId="0" borderId="15" xfId="0" applyFont="1" applyBorder="1" applyAlignment="1">
      <alignment horizontal="center" vertical="center" wrapText="1"/>
    </xf>
    <xf numFmtId="0" fontId="38" fillId="0" borderId="25" xfId="0" applyFont="1" applyBorder="1" applyAlignment="1">
      <alignment horizontal="center" vertical="center" wrapText="1"/>
    </xf>
    <xf numFmtId="0" fontId="134" fillId="0" borderId="15" xfId="0" applyFont="1" applyBorder="1" applyAlignment="1">
      <alignment horizontal="center" vertical="center"/>
    </xf>
    <xf numFmtId="0" fontId="33" fillId="0" borderId="14" xfId="0" applyFont="1" applyBorder="1" applyAlignment="1">
      <alignment horizontal="left" vertical="center" wrapText="1"/>
    </xf>
    <xf numFmtId="0" fontId="33" fillId="0" borderId="13" xfId="0" applyFont="1" applyBorder="1" applyAlignment="1">
      <alignment vertical="center" wrapText="1"/>
    </xf>
    <xf numFmtId="0" fontId="33" fillId="0" borderId="0" xfId="0" applyFont="1" applyAlignment="1">
      <alignment horizontal="right" vertical="center" wrapText="1"/>
    </xf>
    <xf numFmtId="176" fontId="59" fillId="0" borderId="0" xfId="0" applyNumberFormat="1" applyFont="1" applyAlignment="1">
      <alignment horizontal="right" vertical="center"/>
    </xf>
    <xf numFmtId="0" fontId="60" fillId="0" borderId="0" xfId="0" applyFont="1" applyAlignment="1">
      <alignment horizontal="right" vertical="center"/>
    </xf>
    <xf numFmtId="0" fontId="59" fillId="0" borderId="0" xfId="0" applyFont="1" applyAlignment="1">
      <alignment horizontal="right" vertical="center"/>
    </xf>
    <xf numFmtId="0" fontId="57" fillId="14" borderId="178" xfId="0" applyFont="1" applyFill="1" applyBorder="1" applyAlignment="1">
      <alignment horizontal="left" vertical="center" wrapText="1"/>
    </xf>
    <xf numFmtId="0" fontId="57" fillId="14" borderId="178" xfId="0" applyFont="1" applyFill="1" applyBorder="1" applyAlignment="1">
      <alignment vertical="center" wrapText="1"/>
    </xf>
    <xf numFmtId="0" fontId="57" fillId="0" borderId="178" xfId="0" applyFont="1" applyBorder="1" applyAlignment="1">
      <alignment horizontal="center" vertical="center" wrapText="1"/>
    </xf>
    <xf numFmtId="0" fontId="57" fillId="14" borderId="178" xfId="0" applyFont="1" applyFill="1" applyBorder="1" applyAlignment="1">
      <alignment horizontal="center" vertical="center" wrapText="1"/>
    </xf>
    <xf numFmtId="0" fontId="54" fillId="0" borderId="178" xfId="0" applyFont="1" applyBorder="1" applyAlignment="1">
      <alignment horizontal="center" vertical="center" wrapText="1"/>
    </xf>
    <xf numFmtId="0" fontId="54" fillId="0" borderId="178" xfId="0" applyFont="1" applyBorder="1" applyAlignment="1">
      <alignment horizontal="left" vertical="center" wrapText="1"/>
    </xf>
    <xf numFmtId="0" fontId="57" fillId="0" borderId="0" xfId="0" applyFont="1" applyAlignment="1">
      <alignment vertical="center" wrapText="1"/>
    </xf>
    <xf numFmtId="0" fontId="173" fillId="0" borderId="0" xfId="0" applyFont="1" applyAlignment="1">
      <alignment horizontal="left" vertical="center"/>
    </xf>
    <xf numFmtId="0" fontId="52" fillId="0" borderId="0" xfId="0" applyFont="1">
      <alignment vertical="center"/>
    </xf>
    <xf numFmtId="0" fontId="57" fillId="0" borderId="0" xfId="0" applyFont="1" applyAlignment="1">
      <alignment horizontal="center" vertical="center" wrapText="1"/>
    </xf>
    <xf numFmtId="0" fontId="57" fillId="14" borderId="222" xfId="0" applyFont="1" applyFill="1" applyBorder="1" applyAlignment="1">
      <alignment vertical="center" wrapText="1"/>
    </xf>
    <xf numFmtId="0" fontId="57" fillId="14" borderId="222" xfId="0" applyFont="1" applyFill="1" applyBorder="1" applyAlignment="1">
      <alignment horizontal="center" vertical="center" wrapText="1"/>
    </xf>
    <xf numFmtId="0" fontId="54" fillId="0" borderId="223" xfId="0" applyFont="1" applyBorder="1" applyAlignment="1">
      <alignment horizontal="justify" vertical="center" wrapText="1"/>
    </xf>
    <xf numFmtId="0" fontId="0" fillId="0" borderId="72" xfId="0" applyBorder="1">
      <alignment vertical="center"/>
    </xf>
    <xf numFmtId="0" fontId="0" fillId="0" borderId="73" xfId="0" applyBorder="1">
      <alignment vertical="center"/>
    </xf>
    <xf numFmtId="0" fontId="39" fillId="0" borderId="0" xfId="0" applyFont="1">
      <alignment vertical="center"/>
    </xf>
    <xf numFmtId="0" fontId="177" fillId="0" borderId="0" xfId="0" applyFont="1">
      <alignment vertical="center"/>
    </xf>
    <xf numFmtId="0" fontId="39" fillId="0" borderId="73" xfId="0" applyFont="1" applyBorder="1">
      <alignment vertical="center"/>
    </xf>
    <xf numFmtId="0" fontId="177" fillId="0" borderId="0" xfId="0" applyFont="1" applyAlignment="1">
      <alignment horizontal="right" vertical="center"/>
    </xf>
    <xf numFmtId="0" fontId="0" fillId="0" borderId="75" xfId="0" applyBorder="1">
      <alignment vertical="center"/>
    </xf>
    <xf numFmtId="0" fontId="0" fillId="0" borderId="76" xfId="0" applyBorder="1">
      <alignment vertical="center"/>
    </xf>
    <xf numFmtId="0" fontId="0" fillId="0" borderId="77" xfId="0" applyBorder="1">
      <alignment vertical="center"/>
    </xf>
    <xf numFmtId="0" fontId="24" fillId="0" borderId="11" xfId="0" applyFont="1" applyBorder="1" applyAlignment="1">
      <alignment vertical="center" wrapText="1"/>
    </xf>
    <xf numFmtId="0" fontId="17" fillId="0" borderId="0" xfId="0" applyFont="1" applyAlignment="1">
      <alignment horizontal="center" vertical="center"/>
    </xf>
    <xf numFmtId="0" fontId="94" fillId="0" borderId="0" xfId="0" applyFont="1" applyAlignment="1">
      <alignment horizontal="left" vertical="center"/>
    </xf>
    <xf numFmtId="0" fontId="22" fillId="0" borderId="123" xfId="10" applyFont="1" applyBorder="1" applyAlignment="1">
      <alignment horizontal="center" vertical="center"/>
    </xf>
    <xf numFmtId="0" fontId="22" fillId="0" borderId="123" xfId="10" applyFont="1" applyBorder="1" applyAlignment="1">
      <alignment horizontal="center" vertical="center" wrapText="1"/>
    </xf>
    <xf numFmtId="0" fontId="22" fillId="0" borderId="123" xfId="10" applyFont="1" applyBorder="1" applyAlignment="1">
      <alignment horizontal="left" vertical="center" wrapText="1"/>
    </xf>
    <xf numFmtId="0" fontId="22" fillId="0" borderId="123" xfId="10" applyFont="1" applyBorder="1" applyAlignment="1">
      <alignment vertical="center" wrapText="1"/>
    </xf>
    <xf numFmtId="0" fontId="28" fillId="0" borderId="0" xfId="0" applyFont="1" applyAlignment="1">
      <alignment vertical="center" wrapText="1"/>
    </xf>
    <xf numFmtId="0" fontId="28" fillId="0" borderId="0" xfId="0" applyFont="1" applyAlignment="1">
      <alignment horizontal="left" vertical="center" wrapText="1"/>
    </xf>
    <xf numFmtId="0" fontId="84" fillId="0" borderId="0" xfId="0" applyFont="1" applyAlignment="1">
      <alignment horizontal="right" vertical="center" wrapText="1"/>
    </xf>
    <xf numFmtId="0" fontId="56" fillId="0" borderId="0" xfId="0" applyFont="1" applyAlignment="1">
      <alignment horizontal="right" vertical="center" wrapText="1"/>
    </xf>
    <xf numFmtId="0" fontId="5" fillId="23" borderId="0" xfId="1" applyFont="1" applyFill="1" applyBorder="1">
      <alignment vertical="center"/>
    </xf>
    <xf numFmtId="0" fontId="0" fillId="23" borderId="0" xfId="0" applyFill="1">
      <alignment vertical="center"/>
    </xf>
    <xf numFmtId="49" fontId="182" fillId="0" borderId="229" xfId="4" applyNumberFormat="1" applyFont="1" applyFill="1" applyBorder="1" applyAlignment="1">
      <alignment horizontal="center" vertical="center"/>
    </xf>
    <xf numFmtId="0" fontId="6" fillId="20" borderId="0" xfId="3" applyFont="1" applyFill="1" applyBorder="1" applyAlignment="1">
      <alignment horizontal="left" vertical="center"/>
    </xf>
    <xf numFmtId="0" fontId="7" fillId="0" borderId="229" xfId="0" applyFont="1" applyBorder="1">
      <alignment vertical="center"/>
    </xf>
    <xf numFmtId="0" fontId="7" fillId="0" borderId="229" xfId="0" applyFont="1" applyBorder="1" applyAlignment="1">
      <alignment horizontal="left" vertical="center"/>
    </xf>
    <xf numFmtId="0" fontId="183" fillId="20" borderId="0" xfId="3" applyFont="1" applyFill="1" applyBorder="1" applyAlignment="1">
      <alignment horizontal="left" vertical="center"/>
    </xf>
    <xf numFmtId="0" fontId="5" fillId="23" borderId="229" xfId="8" applyFont="1" applyFill="1" applyBorder="1" applyAlignment="1">
      <alignment horizontal="center" vertical="center"/>
    </xf>
    <xf numFmtId="0" fontId="65" fillId="0" borderId="231" xfId="4" applyFont="1" applyFill="1" applyBorder="1" applyAlignment="1">
      <alignment horizontal="center" vertical="center"/>
    </xf>
    <xf numFmtId="0" fontId="65" fillId="0" borderId="230" xfId="4" applyFont="1" applyFill="1" applyBorder="1" applyAlignment="1">
      <alignment horizontal="center" vertical="center"/>
    </xf>
    <xf numFmtId="0" fontId="84" fillId="0" borderId="0" xfId="0" applyFont="1" applyAlignment="1">
      <alignment vertical="center" wrapText="1"/>
    </xf>
    <xf numFmtId="14" fontId="70" fillId="0" borderId="43" xfId="0" applyNumberFormat="1" applyFont="1" applyBorder="1" applyAlignment="1">
      <alignment horizontal="center" vertical="center" wrapText="1"/>
    </xf>
    <xf numFmtId="14" fontId="38" fillId="0" borderId="43" xfId="0" applyNumberFormat="1" applyFont="1" applyBorder="1" applyAlignment="1">
      <alignment horizontal="center" vertical="center" wrapText="1"/>
    </xf>
    <xf numFmtId="0" fontId="17" fillId="0" borderId="15" xfId="0" applyFont="1" applyBorder="1" applyAlignment="1">
      <alignment vertical="center" wrapText="1"/>
    </xf>
    <xf numFmtId="0" fontId="9" fillId="0" borderId="15" xfId="0" applyFont="1" applyBorder="1">
      <alignment vertical="center"/>
    </xf>
    <xf numFmtId="0" fontId="84" fillId="0" borderId="15" xfId="0" applyFont="1" applyBorder="1" applyAlignment="1">
      <alignment vertical="center" wrapText="1"/>
    </xf>
    <xf numFmtId="0" fontId="97" fillId="0" borderId="15" xfId="0" applyFont="1" applyBorder="1" applyAlignment="1">
      <alignment horizontal="center" vertical="center"/>
    </xf>
    <xf numFmtId="0" fontId="121" fillId="0" borderId="17" xfId="14" applyNumberFormat="1" applyFont="1" applyFill="1" applyBorder="1" applyAlignment="1" applyProtection="1">
      <alignment horizontal="center" vertical="center" wrapText="1"/>
      <protection locked="0"/>
    </xf>
    <xf numFmtId="0" fontId="114" fillId="16" borderId="17" xfId="0" applyFont="1" applyFill="1" applyBorder="1">
      <alignment vertical="center"/>
    </xf>
    <xf numFmtId="14" fontId="22" fillId="0" borderId="35" xfId="0" applyNumberFormat="1" applyFont="1" applyBorder="1" applyAlignment="1">
      <alignment horizontal="center" vertical="center" wrapText="1"/>
    </xf>
    <xf numFmtId="178" fontId="22" fillId="0" borderId="35" xfId="0" applyNumberFormat="1" applyFont="1" applyBorder="1" applyAlignment="1">
      <alignment horizontal="center" vertical="center" wrapText="1"/>
    </xf>
    <xf numFmtId="0" fontId="22" fillId="0" borderId="35" xfId="0" applyFont="1" applyBorder="1" applyAlignment="1">
      <alignment horizontal="center" vertical="center"/>
    </xf>
    <xf numFmtId="179" fontId="22" fillId="0" borderId="39" xfId="0" applyNumberFormat="1" applyFont="1" applyBorder="1" applyAlignment="1">
      <alignment horizontal="right" vertical="center" wrapText="1"/>
    </xf>
    <xf numFmtId="41" fontId="22" fillId="0" borderId="40" xfId="5" applyFont="1" applyBorder="1">
      <alignment vertical="center"/>
    </xf>
    <xf numFmtId="0" fontId="22" fillId="0" borderId="40" xfId="0" applyFont="1" applyBorder="1">
      <alignment vertical="center"/>
    </xf>
    <xf numFmtId="41" fontId="22" fillId="0" borderId="40" xfId="0" applyNumberFormat="1" applyFont="1" applyBorder="1">
      <alignment vertical="center"/>
    </xf>
    <xf numFmtId="0" fontId="22" fillId="0" borderId="41" xfId="0" applyFont="1" applyBorder="1">
      <alignment vertical="center"/>
    </xf>
    <xf numFmtId="0" fontId="56" fillId="0" borderId="0" xfId="0" applyFont="1" applyAlignment="1">
      <alignment horizontal="right" vertical="center" wrapText="1"/>
    </xf>
    <xf numFmtId="0" fontId="20" fillId="0" borderId="0" xfId="0" applyFont="1" applyAlignment="1">
      <alignment horizontal="left" vertical="center" wrapText="1"/>
    </xf>
    <xf numFmtId="0" fontId="20" fillId="0" borderId="0" xfId="0" applyFont="1" applyAlignment="1">
      <alignment horizontal="left" vertical="center"/>
    </xf>
    <xf numFmtId="0" fontId="9" fillId="0" borderId="0" xfId="0" applyFont="1" applyAlignment="1">
      <alignment horizontal="center" vertical="center"/>
    </xf>
    <xf numFmtId="0" fontId="17" fillId="0" borderId="0" xfId="0" applyFont="1" applyAlignment="1">
      <alignment horizontal="center" vertical="center" wrapText="1"/>
    </xf>
    <xf numFmtId="0" fontId="84" fillId="0" borderId="15" xfId="0" applyFont="1" applyBorder="1" applyAlignment="1">
      <alignment horizontal="right" vertical="center" wrapText="1"/>
    </xf>
    <xf numFmtId="176" fontId="17" fillId="0" borderId="0" xfId="0" applyNumberFormat="1" applyFont="1" applyAlignment="1">
      <alignment horizontal="center" vertical="center" wrapText="1"/>
    </xf>
    <xf numFmtId="0" fontId="9" fillId="0" borderId="35" xfId="0" applyFont="1" applyBorder="1" applyAlignment="1">
      <alignment horizontal="center" vertical="center"/>
    </xf>
    <xf numFmtId="0" fontId="9" fillId="0" borderId="39" xfId="0" applyFont="1" applyBorder="1" applyAlignment="1">
      <alignment horizontal="center" vertical="center"/>
    </xf>
    <xf numFmtId="0" fontId="9" fillId="0" borderId="41" xfId="0" applyFont="1" applyBorder="1" applyAlignment="1">
      <alignment horizontal="center" vertical="center"/>
    </xf>
    <xf numFmtId="0" fontId="9" fillId="0" borderId="40" xfId="0" applyFont="1" applyBorder="1" applyAlignment="1">
      <alignment horizontal="center" vertical="center"/>
    </xf>
    <xf numFmtId="0" fontId="9" fillId="0" borderId="39" xfId="0" applyFont="1" applyBorder="1" applyAlignment="1">
      <alignment horizontal="left" vertical="center"/>
    </xf>
    <xf numFmtId="0" fontId="9" fillId="0" borderId="40" xfId="0" applyFont="1" applyBorder="1" applyAlignment="1">
      <alignment horizontal="left" vertical="center"/>
    </xf>
    <xf numFmtId="0" fontId="9" fillId="0" borderId="41" xfId="0" applyFont="1" applyBorder="1" applyAlignment="1">
      <alignment horizontal="left" vertical="center"/>
    </xf>
    <xf numFmtId="0" fontId="34" fillId="0" borderId="0" xfId="0" applyFont="1" applyAlignment="1">
      <alignment horizontal="left" vertical="center" wrapText="1"/>
    </xf>
    <xf numFmtId="0" fontId="9" fillId="10" borderId="35" xfId="0" applyFont="1" applyFill="1" applyBorder="1" applyAlignment="1">
      <alignment horizontal="center" vertical="center"/>
    </xf>
    <xf numFmtId="0" fontId="9" fillId="10" borderId="39" xfId="0" applyFont="1" applyFill="1" applyBorder="1" applyAlignment="1">
      <alignment horizontal="center" vertical="center"/>
    </xf>
    <xf numFmtId="0" fontId="9" fillId="10" borderId="40" xfId="0" applyFont="1" applyFill="1" applyBorder="1" applyAlignment="1">
      <alignment horizontal="center" vertical="center"/>
    </xf>
    <xf numFmtId="0" fontId="9" fillId="10" borderId="41" xfId="0" applyFont="1" applyFill="1" applyBorder="1" applyAlignment="1">
      <alignment horizontal="center" vertical="center"/>
    </xf>
    <xf numFmtId="0" fontId="46" fillId="12" borderId="35" xfId="0" applyFont="1" applyFill="1" applyBorder="1" applyAlignment="1">
      <alignment horizontal="center" vertical="center" wrapText="1"/>
    </xf>
    <xf numFmtId="0" fontId="17" fillId="0" borderId="35" xfId="0" applyFont="1" applyBorder="1" applyAlignment="1">
      <alignment horizontal="center" vertical="center" wrapText="1"/>
    </xf>
    <xf numFmtId="0" fontId="22" fillId="0" borderId="35" xfId="0" applyFont="1" applyBorder="1" applyAlignment="1">
      <alignment horizontal="center" vertical="center" wrapText="1"/>
    </xf>
    <xf numFmtId="0" fontId="22" fillId="12" borderId="35" xfId="0" applyFont="1" applyFill="1" applyBorder="1" applyAlignment="1">
      <alignment horizontal="center" vertical="center" wrapText="1"/>
    </xf>
    <xf numFmtId="0" fontId="22" fillId="0" borderId="35" xfId="0" applyFont="1" applyBorder="1" applyAlignment="1">
      <alignment horizontal="center" vertical="center"/>
    </xf>
    <xf numFmtId="179" fontId="17" fillId="0" borderId="35" xfId="0" applyNumberFormat="1" applyFont="1" applyBorder="1" applyAlignment="1">
      <alignment horizontal="center" vertical="center" wrapText="1"/>
    </xf>
    <xf numFmtId="0" fontId="17" fillId="10" borderId="35" xfId="0" applyFont="1" applyFill="1" applyBorder="1" applyAlignment="1">
      <alignment horizontal="center" vertical="center" wrapText="1"/>
    </xf>
    <xf numFmtId="0" fontId="22" fillId="10" borderId="35" xfId="0" applyFont="1" applyFill="1" applyBorder="1" applyAlignment="1">
      <alignment horizontal="center" vertical="center" wrapText="1"/>
    </xf>
    <xf numFmtId="0" fontId="19" fillId="0" borderId="0" xfId="0" applyFont="1" applyAlignment="1">
      <alignment horizontal="center" vertical="center" wrapText="1"/>
    </xf>
    <xf numFmtId="0" fontId="15" fillId="0" borderId="0" xfId="0" applyFont="1" applyAlignment="1">
      <alignment horizontal="center" vertical="center" wrapText="1"/>
    </xf>
    <xf numFmtId="0" fontId="3" fillId="24" borderId="0" xfId="0" applyFont="1" applyFill="1" applyAlignment="1">
      <alignment horizontal="center" vertical="center"/>
    </xf>
    <xf numFmtId="0" fontId="80" fillId="0" borderId="0" xfId="0" applyFont="1" applyAlignment="1">
      <alignment horizontal="center" vertical="center"/>
    </xf>
    <xf numFmtId="0" fontId="9" fillId="0" borderId="229" xfId="0" applyFont="1" applyBorder="1" applyAlignment="1">
      <alignment horizontal="left" vertical="center"/>
    </xf>
    <xf numFmtId="0" fontId="9" fillId="12" borderId="229" xfId="0" applyFont="1" applyFill="1" applyBorder="1" applyAlignment="1">
      <alignment horizontal="left" vertical="center"/>
    </xf>
    <xf numFmtId="0" fontId="5" fillId="23" borderId="229" xfId="8" applyFont="1" applyFill="1" applyBorder="1" applyAlignment="1">
      <alignment horizontal="center" vertical="center"/>
    </xf>
    <xf numFmtId="0" fontId="9" fillId="0" borderId="229" xfId="0" applyFont="1" applyBorder="1" applyAlignment="1">
      <alignment horizontal="left" vertical="center" shrinkToFit="1"/>
    </xf>
    <xf numFmtId="0" fontId="9" fillId="24" borderId="1" xfId="2" applyFont="1" applyFill="1" applyBorder="1" applyAlignment="1">
      <alignment horizontal="center" vertical="center"/>
    </xf>
    <xf numFmtId="0" fontId="9" fillId="24" borderId="2" xfId="2" applyFont="1" applyFill="1" applyBorder="1" applyAlignment="1">
      <alignment horizontal="center" vertical="center"/>
    </xf>
    <xf numFmtId="0" fontId="9" fillId="24" borderId="8" xfId="2" applyFont="1" applyFill="1" applyBorder="1" applyAlignment="1">
      <alignment horizontal="center" vertical="center"/>
    </xf>
    <xf numFmtId="0" fontId="89" fillId="0" borderId="0" xfId="0" applyFont="1" applyAlignment="1">
      <alignment horizontal="right" vertical="center"/>
    </xf>
    <xf numFmtId="0" fontId="23" fillId="0" borderId="0" xfId="0" applyFont="1" applyAlignment="1">
      <alignment horizontal="right" vertical="center"/>
    </xf>
    <xf numFmtId="0" fontId="0" fillId="0" borderId="229" xfId="0" applyBorder="1" applyAlignment="1">
      <alignment horizontal="center" vertical="center" wrapText="1"/>
    </xf>
    <xf numFmtId="0" fontId="181" fillId="0" borderId="1" xfId="4" applyFont="1" applyFill="1" applyBorder="1" applyAlignment="1">
      <alignment horizontal="center" vertical="center"/>
    </xf>
    <xf numFmtId="0" fontId="181" fillId="0" borderId="2" xfId="4" applyFont="1" applyFill="1" applyBorder="1" applyAlignment="1">
      <alignment horizontal="center" vertical="center"/>
    </xf>
    <xf numFmtId="0" fontId="43" fillId="0" borderId="1" xfId="0" applyFont="1" applyBorder="1" applyAlignment="1">
      <alignment horizontal="left" vertical="center"/>
    </xf>
    <xf numFmtId="0" fontId="43" fillId="0" borderId="2" xfId="0" applyFont="1" applyBorder="1" applyAlignment="1">
      <alignment horizontal="left" vertical="center"/>
    </xf>
    <xf numFmtId="0" fontId="48" fillId="0" borderId="1" xfId="0" applyFont="1" applyBorder="1" applyAlignment="1">
      <alignment horizontal="left" vertical="center"/>
    </xf>
    <xf numFmtId="0" fontId="48" fillId="0" borderId="8" xfId="0" applyFont="1" applyBorder="1" applyAlignment="1">
      <alignment horizontal="left" vertical="center"/>
    </xf>
    <xf numFmtId="0" fontId="48" fillId="0" borderId="2" xfId="0" applyFont="1" applyBorder="1" applyAlignment="1">
      <alignment horizontal="left" vertical="center"/>
    </xf>
    <xf numFmtId="0" fontId="46" fillId="0" borderId="1" xfId="0" applyFont="1" applyBorder="1" applyAlignment="1">
      <alignment horizontal="left" vertical="center"/>
    </xf>
    <xf numFmtId="0" fontId="46" fillId="0" borderId="8" xfId="0" applyFont="1" applyBorder="1" applyAlignment="1">
      <alignment horizontal="left" vertical="center"/>
    </xf>
    <xf numFmtId="0" fontId="46" fillId="0" borderId="2" xfId="0" applyFont="1" applyBorder="1" applyAlignment="1">
      <alignment horizontal="left" vertical="center"/>
    </xf>
    <xf numFmtId="0" fontId="7" fillId="0" borderId="229" xfId="0" applyFont="1" applyBorder="1" applyAlignment="1">
      <alignment horizontal="left" vertical="center"/>
    </xf>
    <xf numFmtId="0" fontId="166" fillId="0" borderId="229" xfId="0" applyFont="1" applyBorder="1" applyAlignment="1">
      <alignment horizontal="center" vertical="center"/>
    </xf>
    <xf numFmtId="0" fontId="8" fillId="0" borderId="229" xfId="0" applyFont="1" applyBorder="1" applyAlignment="1">
      <alignment horizontal="center" vertical="center"/>
    </xf>
    <xf numFmtId="0" fontId="181" fillId="0" borderId="229" xfId="4" applyFont="1" applyFill="1" applyBorder="1" applyAlignment="1">
      <alignment horizontal="center" vertical="center"/>
    </xf>
    <xf numFmtId="0" fontId="65" fillId="0" borderId="229" xfId="4" applyFont="1" applyFill="1" applyBorder="1" applyAlignment="1">
      <alignment horizontal="center" vertical="center"/>
    </xf>
    <xf numFmtId="0" fontId="1" fillId="24" borderId="229" xfId="2" applyFill="1" applyBorder="1" applyAlignment="1">
      <alignment horizontal="center" vertical="center"/>
    </xf>
    <xf numFmtId="0" fontId="7" fillId="0" borderId="229" xfId="0" applyFont="1" applyBorder="1" applyAlignment="1">
      <alignment horizontal="center" vertical="center" wrapText="1"/>
    </xf>
    <xf numFmtId="0" fontId="7" fillId="0" borderId="229" xfId="0" applyFont="1" applyBorder="1" applyAlignment="1">
      <alignment horizontal="left" vertical="center" wrapText="1"/>
    </xf>
    <xf numFmtId="0" fontId="99" fillId="0" borderId="25" xfId="0" applyFont="1" applyBorder="1" applyAlignment="1">
      <alignment horizontal="center" vertical="center" wrapText="1"/>
    </xf>
    <xf numFmtId="0" fontId="99" fillId="0" borderId="15" xfId="0" applyFont="1" applyBorder="1" applyAlignment="1">
      <alignment horizontal="center" vertical="center" wrapText="1"/>
    </xf>
    <xf numFmtId="0" fontId="99" fillId="0" borderId="13" xfId="0" applyFont="1" applyBorder="1" applyAlignment="1">
      <alignment horizontal="left" vertical="center"/>
    </xf>
    <xf numFmtId="0" fontId="99" fillId="0" borderId="0" xfId="0" applyFont="1" applyAlignment="1">
      <alignment horizontal="left" vertical="center"/>
    </xf>
    <xf numFmtId="0" fontId="99" fillId="0" borderId="14" xfId="0" applyFont="1" applyBorder="1" applyAlignment="1">
      <alignment horizontal="left" vertical="center"/>
    </xf>
    <xf numFmtId="0" fontId="98" fillId="0" borderId="13" xfId="0" applyFont="1" applyBorder="1" applyAlignment="1">
      <alignment horizontal="left" vertical="center" wrapText="1"/>
    </xf>
    <xf numFmtId="0" fontId="98" fillId="0" borderId="0" xfId="0" applyFont="1" applyAlignment="1">
      <alignment horizontal="left" vertical="center" wrapText="1"/>
    </xf>
    <xf numFmtId="0" fontId="98" fillId="0" borderId="14" xfId="0" applyFont="1" applyBorder="1" applyAlignment="1">
      <alignment horizontal="left" vertical="center" wrapText="1"/>
    </xf>
    <xf numFmtId="176" fontId="96" fillId="0" borderId="13" xfId="0" applyNumberFormat="1" applyFont="1" applyBorder="1" applyAlignment="1">
      <alignment horizontal="center" vertical="center"/>
    </xf>
    <xf numFmtId="176" fontId="96" fillId="0" borderId="0" xfId="0" applyNumberFormat="1" applyFont="1" applyAlignment="1">
      <alignment horizontal="center" vertical="center"/>
    </xf>
    <xf numFmtId="176" fontId="96" fillId="0" borderId="14" xfId="0" applyNumberFormat="1" applyFont="1" applyBorder="1" applyAlignment="1">
      <alignment horizontal="center" vertical="center"/>
    </xf>
    <xf numFmtId="0" fontId="101" fillId="0" borderId="15" xfId="0" applyFont="1" applyBorder="1" applyAlignment="1">
      <alignment horizontal="center" vertical="center"/>
    </xf>
    <xf numFmtId="0" fontId="97" fillId="0" borderId="0" xfId="0" applyFont="1" applyAlignment="1">
      <alignment horizontal="left" vertical="center"/>
    </xf>
    <xf numFmtId="0" fontId="97" fillId="0" borderId="13" xfId="0" quotePrefix="1" applyFont="1" applyBorder="1" applyAlignment="1">
      <alignment horizontal="left" vertical="center" wrapText="1"/>
    </xf>
    <xf numFmtId="0" fontId="97" fillId="0" borderId="0" xfId="0" quotePrefix="1" applyFont="1" applyAlignment="1">
      <alignment horizontal="left" vertical="center" wrapText="1"/>
    </xf>
    <xf numFmtId="0" fontId="97" fillId="0" borderId="13" xfId="0" applyFont="1" applyBorder="1" applyAlignment="1">
      <alignment horizontal="left" vertical="center"/>
    </xf>
    <xf numFmtId="0" fontId="97" fillId="0" borderId="14" xfId="0" applyFont="1" applyBorder="1" applyAlignment="1">
      <alignment horizontal="left" vertical="center"/>
    </xf>
    <xf numFmtId="0" fontId="97" fillId="0" borderId="23" xfId="0" applyFont="1" applyBorder="1" applyAlignment="1">
      <alignment horizontal="center" vertical="center"/>
    </xf>
    <xf numFmtId="0" fontId="97" fillId="0" borderId="16" xfId="0" applyFont="1" applyBorder="1" applyAlignment="1">
      <alignment horizontal="center" vertical="center"/>
    </xf>
    <xf numFmtId="0" fontId="97" fillId="0" borderId="26" xfId="0" applyFont="1" applyBorder="1" applyAlignment="1">
      <alignment horizontal="center" vertical="center"/>
    </xf>
    <xf numFmtId="0" fontId="97" fillId="0" borderId="121" xfId="0" applyFont="1" applyBorder="1" applyAlignment="1">
      <alignment horizontal="center" vertical="center"/>
    </xf>
    <xf numFmtId="0" fontId="97" fillId="0" borderId="134" xfId="0" applyFont="1" applyBorder="1" applyAlignment="1">
      <alignment horizontal="center" vertical="center"/>
    </xf>
    <xf numFmtId="0" fontId="97" fillId="0" borderId="124" xfId="0" applyFont="1" applyBorder="1" applyAlignment="1">
      <alignment horizontal="center" vertical="center"/>
    </xf>
    <xf numFmtId="0" fontId="97" fillId="0" borderId="23" xfId="0" applyFont="1" applyBorder="1" applyAlignment="1">
      <alignment horizontal="left" vertical="center"/>
    </xf>
    <xf numFmtId="0" fontId="97" fillId="0" borderId="26" xfId="0" applyFont="1" applyBorder="1" applyAlignment="1">
      <alignment horizontal="left" vertical="center"/>
    </xf>
    <xf numFmtId="0" fontId="94" fillId="0" borderId="25" xfId="0" applyFont="1" applyBorder="1" applyAlignment="1">
      <alignment horizontal="left" vertical="center" wrapText="1"/>
    </xf>
    <xf numFmtId="0" fontId="94" fillId="0" borderId="24" xfId="0" applyFont="1" applyBorder="1" applyAlignment="1">
      <alignment horizontal="left" vertical="center" wrapText="1"/>
    </xf>
    <xf numFmtId="0" fontId="98" fillId="0" borderId="13" xfId="0" applyFont="1" applyBorder="1" applyAlignment="1">
      <alignment horizontal="left" vertical="center"/>
    </xf>
    <xf numFmtId="0" fontId="98" fillId="0" borderId="0" xfId="0" applyFont="1" applyAlignment="1">
      <alignment horizontal="left" vertical="center"/>
    </xf>
    <xf numFmtId="0" fontId="98" fillId="0" borderId="14" xfId="0" applyFont="1" applyBorder="1" applyAlignment="1">
      <alignment horizontal="left" vertical="center"/>
    </xf>
    <xf numFmtId="0" fontId="101" fillId="0" borderId="16" xfId="0" applyFont="1" applyBorder="1" applyAlignment="1">
      <alignment horizontal="center" vertical="center"/>
    </xf>
    <xf numFmtId="0" fontId="96" fillId="0" borderId="13" xfId="0" applyFont="1" applyBorder="1" applyAlignment="1">
      <alignment horizontal="left" vertical="center"/>
    </xf>
    <xf numFmtId="0" fontId="96" fillId="0" borderId="0" xfId="0" applyFont="1" applyAlignment="1">
      <alignment horizontal="left" vertical="center"/>
    </xf>
    <xf numFmtId="0" fontId="96" fillId="0" borderId="14" xfId="0" applyFont="1" applyBorder="1" applyAlignment="1">
      <alignment horizontal="left" vertical="center"/>
    </xf>
    <xf numFmtId="0" fontId="97" fillId="0" borderId="13" xfId="0" applyFont="1" applyBorder="1" applyAlignment="1">
      <alignment horizontal="left" vertical="center" wrapText="1"/>
    </xf>
    <xf numFmtId="0" fontId="97" fillId="0" borderId="0" xfId="0" applyFont="1" applyAlignment="1">
      <alignment horizontal="left" vertical="center" wrapText="1"/>
    </xf>
    <xf numFmtId="0" fontId="97" fillId="0" borderId="14" xfId="0" applyFont="1" applyBorder="1" applyAlignment="1">
      <alignment horizontal="left" vertical="center" wrapText="1"/>
    </xf>
    <xf numFmtId="0" fontId="94" fillId="0" borderId="10" xfId="0" applyFont="1" applyBorder="1" applyAlignment="1">
      <alignment horizontal="left" vertical="center" wrapText="1"/>
    </xf>
    <xf numFmtId="0" fontId="94" fillId="0" borderId="12" xfId="0" applyFont="1" applyBorder="1" applyAlignment="1">
      <alignment horizontal="left" vertical="center" wrapText="1"/>
    </xf>
    <xf numFmtId="0" fontId="94" fillId="0" borderId="17" xfId="0" applyFont="1" applyBorder="1" applyAlignment="1">
      <alignment horizontal="left" vertical="center" wrapText="1"/>
    </xf>
    <xf numFmtId="0" fontId="96" fillId="0" borderId="13" xfId="0" applyFont="1" applyBorder="1" applyAlignment="1">
      <alignment horizontal="left" vertical="center" wrapText="1"/>
    </xf>
    <xf numFmtId="0" fontId="96" fillId="0" borderId="0" xfId="0" applyFont="1" applyAlignment="1">
      <alignment horizontal="left" vertical="center" wrapText="1"/>
    </xf>
    <xf numFmtId="0" fontId="96" fillId="0" borderId="14" xfId="0" applyFont="1" applyBorder="1" applyAlignment="1">
      <alignment horizontal="left" vertical="center" wrapText="1"/>
    </xf>
    <xf numFmtId="0" fontId="95" fillId="0" borderId="15" xfId="0" applyFont="1" applyBorder="1" applyAlignment="1">
      <alignment horizontal="center" vertical="center" wrapText="1"/>
    </xf>
    <xf numFmtId="0" fontId="97" fillId="0" borderId="13" xfId="0" quotePrefix="1" applyFont="1" applyBorder="1" applyAlignment="1">
      <alignment horizontal="left" vertical="center"/>
    </xf>
    <xf numFmtId="0" fontId="97" fillId="0" borderId="0" xfId="0" quotePrefix="1" applyFont="1" applyAlignment="1">
      <alignment horizontal="left" vertical="center"/>
    </xf>
    <xf numFmtId="0" fontId="97" fillId="0" borderId="17" xfId="0" applyFont="1" applyBorder="1" applyAlignment="1">
      <alignment horizontal="center" vertical="center" wrapText="1"/>
    </xf>
    <xf numFmtId="0" fontId="97" fillId="0" borderId="17" xfId="0" applyFont="1" applyBorder="1" applyAlignment="1">
      <alignment horizontal="left" vertical="center" wrapText="1"/>
    </xf>
    <xf numFmtId="0" fontId="95" fillId="0" borderId="17" xfId="0" applyFont="1" applyBorder="1" applyAlignment="1">
      <alignment horizontal="left" vertical="center" wrapText="1"/>
    </xf>
    <xf numFmtId="185" fontId="95" fillId="0" borderId="17" xfId="0" applyNumberFormat="1" applyFont="1" applyBorder="1" applyAlignment="1">
      <alignment horizontal="left" vertical="center" wrapText="1"/>
    </xf>
    <xf numFmtId="0" fontId="94" fillId="0" borderId="0" xfId="0" applyFont="1" applyAlignment="1">
      <alignment horizontal="center" vertical="center" wrapText="1"/>
    </xf>
    <xf numFmtId="0" fontId="135" fillId="0" borderId="13" xfId="0" applyFont="1" applyBorder="1" applyAlignment="1">
      <alignment horizontal="center" vertical="center" wrapText="1"/>
    </xf>
    <xf numFmtId="0" fontId="135" fillId="0" borderId="0" xfId="0" applyFont="1" applyAlignment="1">
      <alignment horizontal="center" vertical="center" wrapText="1"/>
    </xf>
    <xf numFmtId="0" fontId="135" fillId="0" borderId="14" xfId="0" applyFont="1" applyBorder="1" applyAlignment="1">
      <alignment horizontal="center" vertical="center" wrapText="1"/>
    </xf>
    <xf numFmtId="0" fontId="94" fillId="0" borderId="13" xfId="0" applyFont="1" applyBorder="1" applyAlignment="1">
      <alignment horizontal="left" vertical="center" wrapText="1"/>
    </xf>
    <xf numFmtId="0" fontId="94" fillId="0" borderId="0" xfId="0" applyFont="1" applyAlignment="1">
      <alignment horizontal="left" vertical="center" wrapText="1"/>
    </xf>
    <xf numFmtId="0" fontId="94" fillId="0" borderId="14" xfId="0" applyFont="1" applyBorder="1" applyAlignment="1">
      <alignment horizontal="left" vertical="center" wrapText="1"/>
    </xf>
    <xf numFmtId="0" fontId="104" fillId="0" borderId="13" xfId="0" applyFont="1" applyBorder="1" applyAlignment="1">
      <alignment horizontal="center" vertical="center"/>
    </xf>
    <xf numFmtId="0" fontId="104" fillId="0" borderId="0" xfId="0" applyFont="1" applyAlignment="1">
      <alignment horizontal="center" vertical="center"/>
    </xf>
    <xf numFmtId="0" fontId="104" fillId="0" borderId="14" xfId="0" applyFont="1" applyBorder="1" applyAlignment="1">
      <alignment horizontal="center" vertical="center"/>
    </xf>
    <xf numFmtId="0" fontId="103" fillId="0" borderId="13" xfId="0" applyFont="1" applyBorder="1" applyAlignment="1">
      <alignment horizontal="center" vertical="center"/>
    </xf>
    <xf numFmtId="0" fontId="103" fillId="0" borderId="0" xfId="0" applyFont="1" applyAlignment="1">
      <alignment horizontal="center" vertical="center"/>
    </xf>
    <xf numFmtId="0" fontId="103" fillId="0" borderId="14" xfId="0" applyFont="1" applyBorder="1" applyAlignment="1">
      <alignment horizontal="center" vertical="center"/>
    </xf>
    <xf numFmtId="0" fontId="103" fillId="0" borderId="13" xfId="0" applyFont="1" applyBorder="1" applyAlignment="1">
      <alignment horizontal="right" vertical="center"/>
    </xf>
    <xf numFmtId="0" fontId="103" fillId="0" borderId="0" xfId="0" applyFont="1" applyAlignment="1">
      <alignment horizontal="right" vertical="center"/>
    </xf>
    <xf numFmtId="0" fontId="103" fillId="0" borderId="14" xfId="0" applyFont="1" applyBorder="1" applyAlignment="1">
      <alignment horizontal="right" vertical="center"/>
    </xf>
    <xf numFmtId="0" fontId="97" fillId="0" borderId="13" xfId="0" applyFont="1" applyBorder="1" applyAlignment="1">
      <alignment horizontal="center" vertical="center"/>
    </xf>
    <xf numFmtId="0" fontId="97" fillId="0" borderId="0" xfId="0" applyFont="1" applyAlignment="1">
      <alignment horizontal="center" vertical="center"/>
    </xf>
    <xf numFmtId="0" fontId="97" fillId="0" borderId="14" xfId="0" applyFont="1" applyBorder="1" applyAlignment="1">
      <alignment horizontal="center" vertical="center"/>
    </xf>
    <xf numFmtId="0" fontId="97" fillId="0" borderId="0" xfId="0" applyFont="1" applyAlignment="1">
      <alignment horizontal="center" vertical="center" wrapText="1"/>
    </xf>
    <xf numFmtId="177" fontId="95" fillId="0" borderId="15" xfId="0" applyNumberFormat="1" applyFont="1" applyBorder="1" applyAlignment="1">
      <alignment horizontal="center" vertical="center"/>
    </xf>
    <xf numFmtId="0" fontId="95" fillId="0" borderId="23" xfId="0" applyFont="1" applyBorder="1" applyAlignment="1">
      <alignment horizontal="center" vertical="center" wrapText="1"/>
    </xf>
    <xf numFmtId="0" fontId="95" fillId="0" borderId="26" xfId="0" applyFont="1" applyBorder="1" applyAlignment="1">
      <alignment horizontal="center" vertical="center" wrapText="1"/>
    </xf>
    <xf numFmtId="0" fontId="97" fillId="0" borderId="23" xfId="0" applyFont="1" applyBorder="1" applyAlignment="1">
      <alignment horizontal="center" vertical="center" wrapText="1"/>
    </xf>
    <xf numFmtId="0" fontId="97" fillId="0" borderId="26" xfId="0" applyFont="1" applyBorder="1" applyAlignment="1">
      <alignment horizontal="center" vertical="center" wrapText="1"/>
    </xf>
    <xf numFmtId="0" fontId="98" fillId="0" borderId="23" xfId="0" applyFont="1" applyBorder="1" applyAlignment="1">
      <alignment horizontal="center" vertical="center"/>
    </xf>
    <xf numFmtId="0" fontId="98" fillId="0" borderId="26" xfId="0" applyFont="1" applyBorder="1" applyAlignment="1">
      <alignment horizontal="center" vertical="center"/>
    </xf>
    <xf numFmtId="0" fontId="95" fillId="0" borderId="16" xfId="0" applyFont="1" applyBorder="1" applyAlignment="1">
      <alignment horizontal="center" vertical="center" wrapText="1"/>
    </xf>
    <xf numFmtId="0" fontId="97" fillId="0" borderId="24" xfId="0" applyFont="1" applyBorder="1" applyAlignment="1">
      <alignment horizontal="center" vertical="center"/>
    </xf>
    <xf numFmtId="0" fontId="95" fillId="0" borderId="25" xfId="0" applyFont="1" applyBorder="1" applyAlignment="1">
      <alignment horizontal="center" vertical="center" wrapText="1"/>
    </xf>
    <xf numFmtId="0" fontId="98" fillId="0" borderId="17" xfId="0" applyFont="1" applyBorder="1" applyAlignment="1">
      <alignment horizontal="center" vertical="center" wrapText="1"/>
    </xf>
    <xf numFmtId="0" fontId="97" fillId="0" borderId="18" xfId="0" applyFont="1" applyBorder="1" applyAlignment="1">
      <alignment horizontal="left" vertical="center" wrapText="1"/>
    </xf>
    <xf numFmtId="0" fontId="97" fillId="0" borderId="19" xfId="0" applyFont="1" applyBorder="1" applyAlignment="1">
      <alignment horizontal="left" vertical="center" wrapText="1"/>
    </xf>
    <xf numFmtId="0" fontId="95" fillId="0" borderId="21" xfId="0" applyFont="1" applyBorder="1" applyAlignment="1">
      <alignment horizontal="left" vertical="center" wrapText="1"/>
    </xf>
    <xf numFmtId="0" fontId="95" fillId="0" borderId="22" xfId="0" applyFont="1" applyBorder="1" applyAlignment="1">
      <alignment horizontal="left" vertical="center" wrapText="1"/>
    </xf>
    <xf numFmtId="0" fontId="95" fillId="0" borderId="18" xfId="0" applyFont="1" applyBorder="1" applyAlignment="1">
      <alignment horizontal="left" vertical="center" wrapText="1"/>
    </xf>
    <xf numFmtId="0" fontId="97" fillId="0" borderId="20" xfId="0" applyFont="1" applyBorder="1" applyAlignment="1">
      <alignment horizontal="left" vertical="center" wrapText="1"/>
    </xf>
    <xf numFmtId="0" fontId="95" fillId="0" borderId="19" xfId="0" applyFont="1" applyBorder="1" applyAlignment="1">
      <alignment horizontal="left" vertical="center" wrapText="1"/>
    </xf>
    <xf numFmtId="0" fontId="93" fillId="0" borderId="13" xfId="0" applyFont="1" applyBorder="1" applyAlignment="1">
      <alignment horizontal="center" vertical="center" wrapText="1"/>
    </xf>
    <xf numFmtId="0" fontId="93" fillId="0" borderId="0" xfId="0" applyFont="1" applyAlignment="1">
      <alignment horizontal="center" vertical="center" wrapText="1"/>
    </xf>
    <xf numFmtId="0" fontId="93" fillId="0" borderId="14" xfId="0" applyFont="1" applyBorder="1" applyAlignment="1">
      <alignment horizontal="center" vertical="center" wrapText="1"/>
    </xf>
    <xf numFmtId="0" fontId="97" fillId="0" borderId="13" xfId="0" applyFont="1" applyBorder="1" applyAlignment="1">
      <alignment horizontal="center" vertical="center" wrapText="1"/>
    </xf>
    <xf numFmtId="0" fontId="101" fillId="0" borderId="0" xfId="0" applyFont="1" applyAlignment="1">
      <alignment horizontal="center" vertical="center"/>
    </xf>
    <xf numFmtId="0" fontId="97" fillId="0" borderId="121" xfId="0" applyFont="1" applyBorder="1" applyAlignment="1">
      <alignment horizontal="center" vertical="center" wrapText="1"/>
    </xf>
    <xf numFmtId="0" fontId="97" fillId="0" borderId="124" xfId="0" applyFont="1" applyBorder="1" applyAlignment="1">
      <alignment horizontal="center" vertical="center" wrapText="1"/>
    </xf>
    <xf numFmtId="0" fontId="98" fillId="0" borderId="23" xfId="0" applyFont="1" applyBorder="1" applyAlignment="1">
      <alignment horizontal="center" vertical="center" wrapText="1"/>
    </xf>
    <xf numFmtId="0" fontId="98" fillId="0" borderId="26" xfId="0" applyFont="1" applyBorder="1" applyAlignment="1">
      <alignment horizontal="center" vertical="center" wrapText="1"/>
    </xf>
    <xf numFmtId="0" fontId="97" fillId="0" borderId="23" xfId="0" applyFont="1" applyBorder="1" applyAlignment="1">
      <alignment horizontal="left" vertical="center" wrapText="1"/>
    </xf>
    <xf numFmtId="0" fontId="97" fillId="0" borderId="16" xfId="0" applyFont="1" applyBorder="1" applyAlignment="1">
      <alignment horizontal="left" vertical="center" wrapText="1"/>
    </xf>
    <xf numFmtId="0" fontId="97" fillId="0" borderId="26" xfId="0" applyFont="1" applyBorder="1" applyAlignment="1">
      <alignment horizontal="left" vertical="center" wrapText="1"/>
    </xf>
    <xf numFmtId="0" fontId="96" fillId="0" borderId="23" xfId="0" applyFont="1" applyBorder="1" applyAlignment="1">
      <alignment horizontal="left" vertical="center" wrapText="1"/>
    </xf>
    <xf numFmtId="0" fontId="96" fillId="0" borderId="16" xfId="0" applyFont="1" applyBorder="1" applyAlignment="1">
      <alignment horizontal="left" vertical="center" wrapText="1"/>
    </xf>
    <xf numFmtId="0" fontId="96" fillId="0" borderId="26" xfId="0" applyFont="1" applyBorder="1" applyAlignment="1">
      <alignment horizontal="left" vertical="center" wrapText="1"/>
    </xf>
    <xf numFmtId="0" fontId="43" fillId="0" borderId="55" xfId="0" applyFont="1" applyBorder="1" applyAlignment="1">
      <alignment horizontal="right" vertical="center"/>
    </xf>
    <xf numFmtId="0" fontId="17" fillId="0" borderId="0" xfId="0" applyFont="1" applyAlignment="1">
      <alignment horizontal="justify" vertical="center" wrapText="1"/>
    </xf>
    <xf numFmtId="0" fontId="43" fillId="0" borderId="0" xfId="0" applyFont="1" applyAlignment="1">
      <alignment horizontal="center" vertical="center" wrapText="1"/>
    </xf>
    <xf numFmtId="0" fontId="16" fillId="0" borderId="0" xfId="0" applyFont="1" applyAlignment="1">
      <alignment horizontal="left" wrapText="1"/>
    </xf>
    <xf numFmtId="0" fontId="151" fillId="0" borderId="35" xfId="0" applyFont="1" applyBorder="1" applyAlignment="1">
      <alignment horizontal="center" vertical="center" wrapText="1"/>
    </xf>
    <xf numFmtId="0" fontId="154" fillId="11" borderId="0" xfId="4" applyFont="1" applyFill="1" applyBorder="1" applyAlignment="1">
      <alignment horizontal="center" vertical="center"/>
    </xf>
    <xf numFmtId="0" fontId="155" fillId="11" borderId="0" xfId="4" applyFont="1" applyFill="1" applyBorder="1" applyAlignment="1">
      <alignment horizontal="center" vertical="center"/>
    </xf>
    <xf numFmtId="14" fontId="16" fillId="0" borderId="0" xfId="0" applyNumberFormat="1" applyFont="1" applyAlignment="1">
      <alignment horizontal="center" vertical="center" wrapText="1"/>
    </xf>
    <xf numFmtId="0" fontId="43" fillId="0" borderId="0" xfId="0" applyFont="1" applyAlignment="1">
      <alignment horizontal="left" vertical="center"/>
    </xf>
    <xf numFmtId="0" fontId="152" fillId="0" borderId="0" xfId="0" applyFont="1" applyAlignment="1">
      <alignment horizontal="left" vertical="top" wrapText="1"/>
    </xf>
    <xf numFmtId="0" fontId="16" fillId="0" borderId="33" xfId="0" applyFont="1" applyBorder="1" applyAlignment="1">
      <alignment horizontal="left" wrapText="1"/>
    </xf>
    <xf numFmtId="0" fontId="17" fillId="10" borderId="39" xfId="0" applyFont="1" applyFill="1" applyBorder="1" applyAlignment="1">
      <alignment horizontal="center" vertical="center" wrapText="1"/>
    </xf>
    <xf numFmtId="0" fontId="17" fillId="10" borderId="40" xfId="0" applyFont="1" applyFill="1" applyBorder="1" applyAlignment="1">
      <alignment horizontal="center" vertical="center" wrapText="1"/>
    </xf>
    <xf numFmtId="0" fontId="17" fillId="10" borderId="41" xfId="0" applyFont="1" applyFill="1" applyBorder="1" applyAlignment="1">
      <alignment horizontal="center" vertical="center" wrapText="1"/>
    </xf>
    <xf numFmtId="184" fontId="17" fillId="0" borderId="50" xfId="0" applyNumberFormat="1" applyFont="1" applyBorder="1" applyAlignment="1">
      <alignment horizontal="center" vertical="center" wrapText="1"/>
    </xf>
    <xf numFmtId="184" fontId="17" fillId="0" borderId="66" xfId="0" applyNumberFormat="1" applyFont="1" applyBorder="1" applyAlignment="1">
      <alignment horizontal="center" vertical="center" wrapText="1"/>
    </xf>
    <xf numFmtId="0" fontId="22" fillId="10" borderId="111" xfId="0" applyFont="1" applyFill="1" applyBorder="1" applyAlignment="1">
      <alignment horizontal="left" vertical="center" indent="1"/>
    </xf>
    <xf numFmtId="0" fontId="22" fillId="10" borderId="40" xfId="0" applyFont="1" applyFill="1" applyBorder="1" applyAlignment="1">
      <alignment horizontal="left" vertical="center" indent="1"/>
    </xf>
    <xf numFmtId="0" fontId="22" fillId="10" borderId="112" xfId="0" applyFont="1" applyFill="1" applyBorder="1" applyAlignment="1">
      <alignment horizontal="left" vertical="center" indent="1"/>
    </xf>
    <xf numFmtId="49" fontId="22" fillId="0" borderId="62" xfId="0" applyNumberFormat="1" applyFont="1" applyBorder="1" applyAlignment="1">
      <alignment horizontal="left" vertical="top" wrapText="1"/>
    </xf>
    <xf numFmtId="49" fontId="22" fillId="0" borderId="108" xfId="0" applyNumberFormat="1" applyFont="1" applyBorder="1" applyAlignment="1">
      <alignment horizontal="left" vertical="top" wrapText="1"/>
    </xf>
    <xf numFmtId="49" fontId="22" fillId="0" borderId="61" xfId="0" applyNumberFormat="1" applyFont="1" applyBorder="1" applyAlignment="1">
      <alignment horizontal="left" vertical="top" wrapText="1"/>
    </xf>
    <xf numFmtId="49" fontId="22" fillId="0" borderId="106" xfId="0" applyNumberFormat="1" applyFont="1" applyBorder="1" applyAlignment="1">
      <alignment horizontal="left" vertical="top" wrapText="1"/>
    </xf>
    <xf numFmtId="49" fontId="22" fillId="0" borderId="63" xfId="0" applyNumberFormat="1" applyFont="1" applyBorder="1" applyAlignment="1">
      <alignment horizontal="left" vertical="top" wrapText="1"/>
    </xf>
    <xf numFmtId="49" fontId="22" fillId="0" borderId="110" xfId="0" applyNumberFormat="1" applyFont="1" applyBorder="1" applyAlignment="1">
      <alignment horizontal="left" vertical="top" wrapText="1"/>
    </xf>
    <xf numFmtId="0" fontId="17" fillId="0" borderId="38" xfId="0" applyFont="1" applyBorder="1" applyAlignment="1">
      <alignment horizontal="left" vertical="center" wrapText="1"/>
    </xf>
    <xf numFmtId="49" fontId="22" fillId="0" borderId="107" xfId="0" applyNumberFormat="1" applyFont="1" applyBorder="1" applyAlignment="1">
      <alignment horizontal="center" vertical="center" wrapText="1"/>
    </xf>
    <xf numFmtId="49" fontId="22" fillId="0" borderId="105" xfId="0" applyNumberFormat="1" applyFont="1" applyBorder="1" applyAlignment="1">
      <alignment horizontal="center" vertical="center" wrapText="1"/>
    </xf>
    <xf numFmtId="49" fontId="22" fillId="0" borderId="109" xfId="0" applyNumberFormat="1" applyFont="1" applyBorder="1" applyAlignment="1">
      <alignment horizontal="center" vertical="center" wrapText="1"/>
    </xf>
    <xf numFmtId="41" fontId="17" fillId="0" borderId="35" xfId="0" applyNumberFormat="1" applyFont="1" applyBorder="1" applyAlignment="1">
      <alignment horizontal="left" vertical="center" wrapText="1"/>
    </xf>
    <xf numFmtId="0" fontId="17" fillId="0" borderId="27" xfId="0" applyFont="1" applyBorder="1" applyAlignment="1">
      <alignment horizontal="center" vertical="center" wrapText="1"/>
    </xf>
    <xf numFmtId="0" fontId="17" fillId="0" borderId="28" xfId="0" applyFont="1" applyBorder="1" applyAlignment="1">
      <alignment horizontal="center" vertical="center" wrapText="1"/>
    </xf>
    <xf numFmtId="0" fontId="17" fillId="0" borderId="29" xfId="0" applyFont="1" applyBorder="1" applyAlignment="1">
      <alignment horizontal="center" vertical="center" wrapText="1"/>
    </xf>
    <xf numFmtId="0" fontId="17" fillId="0" borderId="32" xfId="0" applyFont="1" applyBorder="1" applyAlignment="1">
      <alignment horizontal="center" vertical="center" wrapText="1"/>
    </xf>
    <xf numFmtId="0" fontId="17" fillId="0" borderId="33" xfId="0" applyFont="1" applyBorder="1" applyAlignment="1">
      <alignment horizontal="center" vertical="center" wrapText="1"/>
    </xf>
    <xf numFmtId="0" fontId="17" fillId="0" borderId="34" xfId="0" applyFont="1" applyBorder="1" applyAlignment="1">
      <alignment horizontal="center" vertical="center" wrapText="1"/>
    </xf>
    <xf numFmtId="0" fontId="17" fillId="0" borderId="36" xfId="0" applyFont="1" applyBorder="1" applyAlignment="1">
      <alignment horizontal="left" vertical="center" wrapText="1"/>
    </xf>
    <xf numFmtId="0" fontId="56" fillId="0" borderId="0" xfId="0" applyFont="1" applyAlignment="1">
      <alignment horizontal="left" vertical="center" wrapText="1"/>
    </xf>
    <xf numFmtId="0" fontId="22" fillId="10" borderId="101" xfId="0" applyFont="1" applyFill="1" applyBorder="1" applyAlignment="1">
      <alignment horizontal="left" vertical="center" indent="1"/>
    </xf>
    <xf numFmtId="0" fontId="22" fillId="10" borderId="33" xfId="0" applyFont="1" applyFill="1" applyBorder="1" applyAlignment="1">
      <alignment horizontal="left" vertical="center" indent="1"/>
    </xf>
    <xf numFmtId="0" fontId="22" fillId="10" borderId="102" xfId="0" applyFont="1" applyFill="1" applyBorder="1" applyAlignment="1">
      <alignment horizontal="left" vertical="center" indent="1"/>
    </xf>
    <xf numFmtId="0" fontId="22" fillId="0" borderId="58" xfId="0" applyFont="1" applyBorder="1" applyAlignment="1">
      <alignment horizontal="left" vertical="top"/>
    </xf>
    <xf numFmtId="0" fontId="22" fillId="0" borderId="0" xfId="0" applyFont="1" applyAlignment="1">
      <alignment horizontal="left" vertical="top"/>
    </xf>
    <xf numFmtId="0" fontId="22" fillId="0" borderId="59" xfId="0" applyFont="1" applyBorder="1" applyAlignment="1">
      <alignment horizontal="left" vertical="top"/>
    </xf>
    <xf numFmtId="0" fontId="22" fillId="0" borderId="64" xfId="0" applyFont="1" applyBorder="1" applyAlignment="1">
      <alignment horizontal="left" vertical="top"/>
    </xf>
    <xf numFmtId="0" fontId="22" fillId="0" borderId="53" xfId="0" applyFont="1" applyBorder="1" applyAlignment="1">
      <alignment horizontal="left" vertical="top"/>
    </xf>
    <xf numFmtId="0" fontId="22" fillId="0" borderId="65" xfId="0" applyFont="1" applyBorder="1" applyAlignment="1">
      <alignment horizontal="left" vertical="top"/>
    </xf>
    <xf numFmtId="0" fontId="22" fillId="0" borderId="43" xfId="0" applyFont="1" applyBorder="1" applyAlignment="1">
      <alignment horizontal="left" vertical="center" indent="1"/>
    </xf>
    <xf numFmtId="0" fontId="22" fillId="0" borderId="100" xfId="0" applyFont="1" applyBorder="1" applyAlignment="1">
      <alignment horizontal="left" vertical="center" indent="1"/>
    </xf>
    <xf numFmtId="0" fontId="22" fillId="0" borderId="43" xfId="0" applyFont="1" applyBorder="1">
      <alignment vertical="center"/>
    </xf>
    <xf numFmtId="0" fontId="22" fillId="0" borderId="100" xfId="0" applyFont="1" applyBorder="1">
      <alignment vertical="center"/>
    </xf>
    <xf numFmtId="49" fontId="22" fillId="0" borderId="103" xfId="0" applyNumberFormat="1" applyFont="1" applyBorder="1" applyAlignment="1">
      <alignment horizontal="center" vertical="center" wrapText="1"/>
    </xf>
    <xf numFmtId="49" fontId="22" fillId="0" borderId="57" xfId="0" applyNumberFormat="1" applyFont="1" applyBorder="1" applyAlignment="1">
      <alignment horizontal="left" vertical="top" wrapText="1"/>
    </xf>
    <xf numFmtId="49" fontId="22" fillId="0" borderId="104" xfId="0" applyNumberFormat="1" applyFont="1" applyBorder="1" applyAlignment="1">
      <alignment horizontal="left" vertical="top" wrapText="1"/>
    </xf>
    <xf numFmtId="0" fontId="19" fillId="0" borderId="0" xfId="0" applyFont="1" applyAlignment="1">
      <alignment horizontal="center" vertical="center"/>
    </xf>
    <xf numFmtId="0" fontId="22" fillId="10" borderId="97" xfId="0" applyFont="1" applyFill="1" applyBorder="1" applyAlignment="1">
      <alignment horizontal="left" vertical="center" indent="1"/>
    </xf>
    <xf numFmtId="0" fontId="22" fillId="0" borderId="45" xfId="0" applyFont="1" applyBorder="1" applyAlignment="1">
      <alignment horizontal="left" vertical="center" indent="1"/>
    </xf>
    <xf numFmtId="0" fontId="22" fillId="0" borderId="98" xfId="0" applyFont="1" applyBorder="1" applyAlignment="1">
      <alignment horizontal="left" vertical="center" indent="1"/>
    </xf>
    <xf numFmtId="0" fontId="22" fillId="10" borderId="43" xfId="0" applyFont="1" applyFill="1" applyBorder="1" applyAlignment="1">
      <alignment horizontal="center" vertical="center" wrapText="1"/>
    </xf>
    <xf numFmtId="0" fontId="17" fillId="0" borderId="0" xfId="0" applyFont="1" applyAlignment="1">
      <alignment horizontal="left" vertical="center" wrapText="1"/>
    </xf>
    <xf numFmtId="0" fontId="22" fillId="0" borderId="48" xfId="0" applyFont="1" applyBorder="1" applyAlignment="1">
      <alignment horizontal="left" vertical="center" indent="1"/>
    </xf>
    <xf numFmtId="0" fontId="22" fillId="0" borderId="99" xfId="0" applyFont="1" applyBorder="1" applyAlignment="1">
      <alignment horizontal="left" vertical="center" indent="1"/>
    </xf>
    <xf numFmtId="0" fontId="150" fillId="0" borderId="35" xfId="0" applyFont="1" applyBorder="1" applyAlignment="1">
      <alignment horizontal="center" vertical="center" wrapText="1"/>
    </xf>
    <xf numFmtId="0" fontId="19" fillId="0" borderId="53" xfId="0" applyFont="1" applyBorder="1" applyAlignment="1">
      <alignment horizontal="center" vertical="center" wrapText="1"/>
    </xf>
    <xf numFmtId="0" fontId="43" fillId="0" borderId="54" xfId="0" applyFont="1" applyBorder="1" applyAlignment="1">
      <alignment horizontal="left" vertical="center" indent="1"/>
    </xf>
    <xf numFmtId="0" fontId="43" fillId="0" borderId="55" xfId="0" applyFont="1" applyBorder="1" applyAlignment="1">
      <alignment horizontal="left" vertical="center" indent="1"/>
    </xf>
    <xf numFmtId="0" fontId="43" fillId="0" borderId="56" xfId="0" applyFont="1" applyBorder="1" applyAlignment="1">
      <alignment horizontal="left" vertical="center" indent="1"/>
    </xf>
    <xf numFmtId="0" fontId="43" fillId="0" borderId="58" xfId="0" applyFont="1" applyBorder="1" applyAlignment="1">
      <alignment horizontal="left" vertical="center" indent="1"/>
    </xf>
    <xf numFmtId="0" fontId="43" fillId="0" borderId="0" xfId="0" applyFont="1" applyAlignment="1">
      <alignment horizontal="left" vertical="center" indent="1"/>
    </xf>
    <xf numFmtId="0" fontId="43" fillId="0" borderId="59" xfId="0" applyFont="1" applyBorder="1" applyAlignment="1">
      <alignment horizontal="left" vertical="center" indent="1"/>
    </xf>
    <xf numFmtId="0" fontId="153" fillId="0" borderId="51" xfId="0" applyFont="1" applyBorder="1" applyAlignment="1">
      <alignment horizontal="center" vertical="center"/>
    </xf>
    <xf numFmtId="0" fontId="41" fillId="0" borderId="52" xfId="0" applyFont="1" applyBorder="1" applyAlignment="1">
      <alignment horizontal="center" vertical="center"/>
    </xf>
    <xf numFmtId="0" fontId="22" fillId="0" borderId="58" xfId="0" applyFont="1" applyBorder="1" applyAlignment="1">
      <alignment horizontal="left" vertical="center" indent="1"/>
    </xf>
    <xf numFmtId="0" fontId="22" fillId="0" borderId="0" xfId="0" applyFont="1" applyAlignment="1">
      <alignment horizontal="left" vertical="center" indent="1"/>
    </xf>
    <xf numFmtId="0" fontId="23" fillId="0" borderId="0" xfId="0" applyFont="1">
      <alignment vertical="center"/>
    </xf>
    <xf numFmtId="0" fontId="23" fillId="0" borderId="59" xfId="0" applyFont="1" applyBorder="1">
      <alignment vertical="center"/>
    </xf>
    <xf numFmtId="0" fontId="22" fillId="0" borderId="58" xfId="0" applyFont="1" applyBorder="1" applyAlignment="1">
      <alignment horizontal="left" vertical="top" wrapText="1"/>
    </xf>
    <xf numFmtId="0" fontId="22" fillId="0" borderId="0" xfId="0" applyFont="1" applyAlignment="1">
      <alignment horizontal="left" vertical="top" wrapText="1"/>
    </xf>
    <xf numFmtId="0" fontId="22" fillId="0" borderId="59" xfId="0" applyFont="1" applyBorder="1" applyAlignment="1">
      <alignment horizontal="left" vertical="top" wrapText="1"/>
    </xf>
    <xf numFmtId="0" fontId="22" fillId="0" borderId="64" xfId="0" applyFont="1" applyBorder="1" applyAlignment="1">
      <alignment horizontal="left" vertical="top" wrapText="1"/>
    </xf>
    <xf numFmtId="0" fontId="22" fillId="0" borderId="53" xfId="0" applyFont="1" applyBorder="1" applyAlignment="1">
      <alignment horizontal="left" vertical="top" wrapText="1"/>
    </xf>
    <xf numFmtId="0" fontId="22" fillId="0" borderId="65" xfId="0" applyFont="1" applyBorder="1" applyAlignment="1">
      <alignment horizontal="left" vertical="top" wrapText="1"/>
    </xf>
    <xf numFmtId="0" fontId="9" fillId="10" borderId="46" xfId="0" applyFont="1" applyFill="1" applyBorder="1" applyAlignment="1">
      <alignment horizontal="center" vertical="center" wrapText="1"/>
    </xf>
    <xf numFmtId="0" fontId="9" fillId="10" borderId="46" xfId="0" applyFont="1" applyFill="1" applyBorder="1" applyAlignment="1">
      <alignment horizontal="center" vertical="center"/>
    </xf>
    <xf numFmtId="0" fontId="9" fillId="10" borderId="49" xfId="0" applyFont="1" applyFill="1" applyBorder="1" applyAlignment="1">
      <alignment horizontal="center" vertical="center"/>
    </xf>
    <xf numFmtId="0" fontId="17" fillId="0" borderId="39" xfId="0" applyFont="1" applyBorder="1" applyAlignment="1">
      <alignment horizontal="center" vertical="center" wrapText="1"/>
    </xf>
    <xf numFmtId="0" fontId="17" fillId="0" borderId="40" xfId="0" applyFont="1" applyBorder="1" applyAlignment="1">
      <alignment horizontal="center" vertical="center" wrapText="1"/>
    </xf>
    <xf numFmtId="0" fontId="17" fillId="0" borderId="41" xfId="0" applyFont="1" applyBorder="1" applyAlignment="1">
      <alignment horizontal="center" vertical="center" wrapText="1"/>
    </xf>
    <xf numFmtId="0" fontId="16" fillId="0" borderId="0" xfId="0" applyFont="1" applyAlignment="1">
      <alignment horizontal="center" vertical="center" wrapText="1"/>
    </xf>
    <xf numFmtId="0" fontId="22" fillId="0" borderId="58" xfId="0" quotePrefix="1" applyFont="1" applyBorder="1" applyAlignment="1">
      <alignment horizontal="left" vertical="top" wrapText="1"/>
    </xf>
    <xf numFmtId="0" fontId="22" fillId="0" borderId="0" xfId="0" quotePrefix="1" applyFont="1" applyAlignment="1">
      <alignment horizontal="left" vertical="top" wrapText="1"/>
    </xf>
    <xf numFmtId="0" fontId="22" fillId="0" borderId="59" xfId="0" quotePrefix="1" applyFont="1" applyBorder="1" applyAlignment="1">
      <alignment horizontal="left" vertical="top" wrapText="1"/>
    </xf>
    <xf numFmtId="0" fontId="22" fillId="0" borderId="198" xfId="0" quotePrefix="1" applyFont="1" applyBorder="1" applyAlignment="1">
      <alignment horizontal="left" vertical="top" wrapText="1"/>
    </xf>
    <xf numFmtId="0" fontId="22" fillId="0" borderId="33" xfId="0" quotePrefix="1" applyFont="1" applyBorder="1" applyAlignment="1">
      <alignment horizontal="left" vertical="top" wrapText="1"/>
    </xf>
    <xf numFmtId="0" fontId="22" fillId="0" borderId="199" xfId="0" quotePrefix="1" applyFont="1" applyBorder="1" applyAlignment="1">
      <alignment horizontal="left" vertical="top" wrapText="1"/>
    </xf>
    <xf numFmtId="0" fontId="22" fillId="0" borderId="64" xfId="0" quotePrefix="1" applyFont="1" applyBorder="1" applyAlignment="1">
      <alignment horizontal="left" vertical="top" wrapText="1"/>
    </xf>
    <xf numFmtId="0" fontId="22" fillId="0" borderId="53" xfId="0" quotePrefix="1" applyFont="1" applyBorder="1" applyAlignment="1">
      <alignment horizontal="left" vertical="top" wrapText="1"/>
    </xf>
    <xf numFmtId="0" fontId="22" fillId="0" borderId="65" xfId="0" quotePrefix="1" applyFont="1" applyBorder="1" applyAlignment="1">
      <alignment horizontal="left" vertical="top" wrapText="1"/>
    </xf>
    <xf numFmtId="0" fontId="43" fillId="0" borderId="0" xfId="0" applyFont="1" applyAlignment="1">
      <alignment horizontal="left" wrapText="1"/>
    </xf>
    <xf numFmtId="0" fontId="76" fillId="0" borderId="0" xfId="0" applyFont="1" applyAlignment="1">
      <alignment horizontal="center" vertical="center"/>
    </xf>
    <xf numFmtId="0" fontId="22" fillId="0" borderId="33" xfId="0" applyFont="1" applyBorder="1" applyAlignment="1">
      <alignment horizontal="center" vertical="center" wrapText="1"/>
    </xf>
    <xf numFmtId="0" fontId="22" fillId="0" borderId="35" xfId="0" applyFont="1" applyBorder="1" applyAlignment="1">
      <alignment horizontal="left" vertical="center" wrapText="1"/>
    </xf>
    <xf numFmtId="0" fontId="75" fillId="0" borderId="33" xfId="0" applyFont="1" applyBorder="1" applyAlignment="1">
      <alignment horizontal="center" vertical="center"/>
    </xf>
    <xf numFmtId="0" fontId="22" fillId="10" borderId="35" xfId="0" applyFont="1" applyFill="1" applyBorder="1" applyAlignment="1">
      <alignment horizontal="center" vertical="center"/>
    </xf>
    <xf numFmtId="176" fontId="22" fillId="0" borderId="30" xfId="0" quotePrefix="1" applyNumberFormat="1" applyFont="1" applyBorder="1" applyAlignment="1">
      <alignment horizontal="center" vertical="center"/>
    </xf>
    <xf numFmtId="176" fontId="22" fillId="0" borderId="0" xfId="0" quotePrefix="1" applyNumberFormat="1" applyFont="1" applyAlignment="1">
      <alignment horizontal="center" vertical="center"/>
    </xf>
    <xf numFmtId="176" fontId="22" fillId="0" borderId="31" xfId="0" quotePrefix="1" applyNumberFormat="1" applyFont="1" applyBorder="1" applyAlignment="1">
      <alignment horizontal="center" vertical="center"/>
    </xf>
    <xf numFmtId="0" fontId="22" fillId="10" borderId="35" xfId="0" quotePrefix="1" applyFont="1" applyFill="1" applyBorder="1" applyAlignment="1">
      <alignment horizontal="center" vertical="center"/>
    </xf>
    <xf numFmtId="0" fontId="43" fillId="0" borderId="35" xfId="0" quotePrefix="1" applyFont="1" applyBorder="1" applyAlignment="1">
      <alignment horizontal="left" vertical="center"/>
    </xf>
    <xf numFmtId="0" fontId="22" fillId="0" borderId="35" xfId="0" applyFont="1" applyBorder="1" applyAlignment="1">
      <alignment horizontal="left" vertical="center"/>
    </xf>
    <xf numFmtId="0" fontId="9" fillId="0" borderId="0" xfId="0" applyFont="1" applyAlignment="1">
      <alignment horizontal="center" vertical="center" wrapText="1"/>
    </xf>
    <xf numFmtId="0" fontId="22" fillId="0" borderId="35" xfId="0" quotePrefix="1" applyFont="1" applyBorder="1" applyAlignment="1">
      <alignment horizontal="center" vertical="top"/>
    </xf>
    <xf numFmtId="0" fontId="43" fillId="0" borderId="35" xfId="0" quotePrefix="1" applyFont="1" applyBorder="1" applyAlignment="1">
      <alignment horizontal="center" vertical="center"/>
    </xf>
    <xf numFmtId="0" fontId="43" fillId="0" borderId="50" xfId="0" applyFont="1" applyBorder="1" applyAlignment="1">
      <alignment horizontal="left" vertical="center"/>
    </xf>
    <xf numFmtId="0" fontId="43" fillId="0" borderId="50" xfId="0" quotePrefix="1" applyFont="1" applyBorder="1" applyAlignment="1">
      <alignment horizontal="left" vertical="center"/>
    </xf>
    <xf numFmtId="0" fontId="32" fillId="0" borderId="66" xfId="0" applyFont="1" applyBorder="1" applyAlignment="1">
      <alignment horizontal="left" vertical="top"/>
    </xf>
    <xf numFmtId="0" fontId="32" fillId="0" borderId="35" xfId="0" applyFont="1" applyBorder="1" applyAlignment="1">
      <alignment horizontal="left" vertical="top"/>
    </xf>
    <xf numFmtId="0" fontId="22" fillId="0" borderId="30" xfId="0" quotePrefix="1" applyFont="1" applyBorder="1" applyAlignment="1">
      <alignment horizontal="center" vertical="top"/>
    </xf>
    <xf numFmtId="0" fontId="22" fillId="0" borderId="0" xfId="0" quotePrefix="1" applyFont="1" applyAlignment="1">
      <alignment horizontal="center" vertical="top"/>
    </xf>
    <xf numFmtId="0" fontId="22" fillId="0" borderId="31" xfId="0" quotePrefix="1" applyFont="1" applyBorder="1" applyAlignment="1">
      <alignment horizontal="center" vertical="top"/>
    </xf>
    <xf numFmtId="0" fontId="22" fillId="0" borderId="30" xfId="0" applyFont="1" applyBorder="1" applyAlignment="1">
      <alignment horizontal="left" vertical="top"/>
    </xf>
    <xf numFmtId="0" fontId="22" fillId="0" borderId="31" xfId="0" applyFont="1" applyBorder="1" applyAlignment="1">
      <alignment horizontal="left" vertical="top"/>
    </xf>
    <xf numFmtId="0" fontId="22" fillId="0" borderId="32" xfId="0" applyFont="1" applyBorder="1" applyAlignment="1">
      <alignment horizontal="left" vertical="top"/>
    </xf>
    <xf numFmtId="0" fontId="22" fillId="0" borderId="33" xfId="0" applyFont="1" applyBorder="1" applyAlignment="1">
      <alignment horizontal="left" vertical="top"/>
    </xf>
    <xf numFmtId="0" fontId="22" fillId="0" borderId="34" xfId="0" applyFont="1" applyBorder="1" applyAlignment="1">
      <alignment horizontal="left" vertical="top"/>
    </xf>
    <xf numFmtId="0" fontId="20" fillId="0" borderId="32" xfId="0" applyFont="1" applyBorder="1" applyAlignment="1">
      <alignment horizontal="right" vertical="center"/>
    </xf>
    <xf numFmtId="0" fontId="20" fillId="0" borderId="33" xfId="0" applyFont="1" applyBorder="1" applyAlignment="1">
      <alignment horizontal="right" vertical="center"/>
    </xf>
    <xf numFmtId="0" fontId="20" fillId="0" borderId="34" xfId="0" applyFont="1" applyBorder="1" applyAlignment="1">
      <alignment horizontal="right" vertical="center"/>
    </xf>
    <xf numFmtId="0" fontId="22" fillId="0" borderId="30" xfId="0" applyFont="1" applyBorder="1" applyAlignment="1">
      <alignment horizontal="left" vertical="center"/>
    </xf>
    <xf numFmtId="0" fontId="22" fillId="0" borderId="0" xfId="0" applyFont="1" applyAlignment="1">
      <alignment horizontal="left" vertical="center"/>
    </xf>
    <xf numFmtId="0" fontId="22" fillId="0" borderId="31" xfId="0" applyFont="1" applyBorder="1" applyAlignment="1">
      <alignment horizontal="left" vertical="center"/>
    </xf>
    <xf numFmtId="0" fontId="22" fillId="0" borderId="32" xfId="0" applyFont="1" applyBorder="1" applyAlignment="1">
      <alignment horizontal="left" vertical="center"/>
    </xf>
    <xf numFmtId="0" fontId="22" fillId="0" borderId="33" xfId="0" applyFont="1" applyBorder="1" applyAlignment="1">
      <alignment horizontal="left" vertical="center"/>
    </xf>
    <xf numFmtId="0" fontId="22" fillId="0" borderId="34" xfId="0" applyFont="1" applyBorder="1" applyAlignment="1">
      <alignment horizontal="left" vertical="center"/>
    </xf>
    <xf numFmtId="0" fontId="85" fillId="0" borderId="15" xfId="0" applyFont="1" applyBorder="1" applyAlignment="1">
      <alignment horizontal="right" vertical="center"/>
    </xf>
    <xf numFmtId="0" fontId="85" fillId="0" borderId="96" xfId="0" applyFont="1" applyBorder="1" applyAlignment="1">
      <alignment horizontal="right" vertical="center"/>
    </xf>
    <xf numFmtId="0" fontId="85" fillId="0" borderId="16" xfId="0" applyFont="1" applyBorder="1" applyAlignment="1">
      <alignment horizontal="right" vertical="center"/>
    </xf>
    <xf numFmtId="0" fontId="85" fillId="0" borderId="177" xfId="0" applyFont="1" applyBorder="1" applyAlignment="1">
      <alignment horizontal="right" vertical="center"/>
    </xf>
    <xf numFmtId="0" fontId="22" fillId="0" borderId="66" xfId="0" applyFont="1" applyBorder="1" applyAlignment="1">
      <alignment horizontal="left" vertical="center"/>
    </xf>
    <xf numFmtId="15" fontId="17" fillId="0" borderId="0" xfId="0" applyNumberFormat="1" applyFont="1" applyAlignment="1">
      <alignment horizontal="center" vertical="center" wrapText="1"/>
    </xf>
    <xf numFmtId="0" fontId="24" fillId="0" borderId="0" xfId="0" applyFont="1" applyAlignment="1">
      <alignment horizontal="left" vertical="top" wrapText="1"/>
    </xf>
    <xf numFmtId="0" fontId="33" fillId="0" borderId="0" xfId="0" applyFont="1" applyAlignment="1">
      <alignment horizontal="center" vertical="center" wrapText="1"/>
    </xf>
    <xf numFmtId="0" fontId="84" fillId="0" borderId="15" xfId="0" applyFont="1" applyBorder="1" applyAlignment="1">
      <alignment horizontal="right" vertical="center"/>
    </xf>
    <xf numFmtId="0" fontId="23" fillId="0" borderId="30" xfId="0" applyFont="1" applyBorder="1" applyAlignment="1">
      <alignment horizontal="left" vertical="center" wrapText="1"/>
    </xf>
    <xf numFmtId="0" fontId="23" fillId="0" borderId="0" xfId="0" applyFont="1" applyAlignment="1">
      <alignment horizontal="left" vertical="center" wrapText="1"/>
    </xf>
    <xf numFmtId="0" fontId="23" fillId="0" borderId="31" xfId="0" applyFont="1" applyBorder="1" applyAlignment="1">
      <alignment horizontal="left" vertical="center" wrapText="1"/>
    </xf>
    <xf numFmtId="0" fontId="89" fillId="0" borderId="0" xfId="0" applyFont="1" applyAlignment="1">
      <alignment horizontal="left" vertical="top" wrapText="1"/>
    </xf>
    <xf numFmtId="0" fontId="89" fillId="0" borderId="30" xfId="0" applyFont="1" applyBorder="1" applyAlignment="1">
      <alignment horizontal="left" vertical="center" wrapText="1"/>
    </xf>
    <xf numFmtId="0" fontId="89" fillId="0" borderId="0" xfId="0" applyFont="1" applyAlignment="1">
      <alignment horizontal="left" vertical="center" wrapText="1"/>
    </xf>
    <xf numFmtId="0" fontId="89" fillId="0" borderId="31" xfId="0" applyFont="1" applyBorder="1" applyAlignment="1">
      <alignment horizontal="left" vertical="center" wrapText="1"/>
    </xf>
    <xf numFmtId="0" fontId="9" fillId="0" borderId="27" xfId="0" applyFont="1" applyBorder="1" applyAlignment="1">
      <alignment horizontal="center" vertical="center"/>
    </xf>
    <xf numFmtId="0" fontId="9" fillId="0" borderId="29" xfId="0" applyFont="1" applyBorder="1" applyAlignment="1">
      <alignment horizontal="center" vertical="center"/>
    </xf>
    <xf numFmtId="0" fontId="20" fillId="0" borderId="30" xfId="0" applyFont="1" applyBorder="1" applyAlignment="1">
      <alignment horizontal="center" vertical="center"/>
    </xf>
    <xf numFmtId="0" fontId="20" fillId="0" borderId="0" xfId="0" applyFont="1" applyAlignment="1">
      <alignment horizontal="center" vertical="center"/>
    </xf>
    <xf numFmtId="0" fontId="20" fillId="0" borderId="31" xfId="0" applyFont="1" applyBorder="1" applyAlignment="1">
      <alignment horizontal="center" vertical="center"/>
    </xf>
    <xf numFmtId="3" fontId="9" fillId="0" borderId="50" xfId="0" applyNumberFormat="1" applyFont="1" applyBorder="1" applyAlignment="1">
      <alignment horizontal="center" vertical="center"/>
    </xf>
    <xf numFmtId="3" fontId="9" fillId="0" borderId="42" xfId="0" applyNumberFormat="1" applyFont="1" applyBorder="1" applyAlignment="1">
      <alignment horizontal="center" vertical="center"/>
    </xf>
    <xf numFmtId="3" fontId="9" fillId="0" borderId="66" xfId="0" applyNumberFormat="1" applyFont="1" applyBorder="1" applyAlignment="1">
      <alignment horizontal="center" vertical="center"/>
    </xf>
    <xf numFmtId="0" fontId="9" fillId="0" borderId="50" xfId="0" applyFont="1" applyBorder="1" applyAlignment="1">
      <alignment horizontal="center" vertical="center"/>
    </xf>
    <xf numFmtId="0" fontId="9" fillId="0" borderId="42" xfId="0" applyFont="1" applyBorder="1" applyAlignment="1">
      <alignment horizontal="center" vertical="center"/>
    </xf>
    <xf numFmtId="0" fontId="9" fillId="0" borderId="66" xfId="0" applyFont="1" applyBorder="1" applyAlignment="1">
      <alignment horizontal="center" vertical="center"/>
    </xf>
    <xf numFmtId="0" fontId="9" fillId="0" borderId="35" xfId="0" quotePrefix="1" applyFont="1" applyBorder="1" applyAlignment="1">
      <alignment horizontal="left" vertical="center" wrapText="1"/>
    </xf>
    <xf numFmtId="0" fontId="20" fillId="0" borderId="27" xfId="0" applyFont="1" applyBorder="1" applyAlignment="1">
      <alignment horizontal="center" vertical="center"/>
    </xf>
    <xf numFmtId="0" fontId="20" fillId="0" borderId="28" xfId="0" applyFont="1" applyBorder="1" applyAlignment="1">
      <alignment horizontal="center" vertical="center"/>
    </xf>
    <xf numFmtId="0" fontId="20" fillId="0" borderId="29" xfId="0" applyFont="1" applyBorder="1" applyAlignment="1">
      <alignment horizontal="center" vertical="center"/>
    </xf>
    <xf numFmtId="0" fontId="38" fillId="0" borderId="28" xfId="0" applyFont="1" applyBorder="1" applyAlignment="1">
      <alignment horizontal="left" vertical="top" wrapText="1"/>
    </xf>
    <xf numFmtId="0" fontId="38" fillId="0" borderId="0" xfId="0" applyFont="1" applyAlignment="1">
      <alignment horizontal="left" vertical="top" wrapText="1"/>
    </xf>
    <xf numFmtId="0" fontId="16" fillId="0" borderId="0" xfId="0" applyFont="1" applyAlignment="1">
      <alignment horizontal="left" vertical="center" wrapText="1"/>
    </xf>
    <xf numFmtId="0" fontId="50" fillId="0" borderId="0" xfId="0" applyFont="1" applyAlignment="1">
      <alignment horizontal="left" vertical="center" wrapText="1"/>
    </xf>
    <xf numFmtId="41" fontId="17" fillId="0" borderId="39" xfId="5" applyFont="1" applyBorder="1" applyAlignment="1">
      <alignment horizontal="center" vertical="center" wrapText="1"/>
    </xf>
    <xf numFmtId="41" fontId="17" fillId="0" borderId="41" xfId="5" applyFont="1" applyBorder="1" applyAlignment="1">
      <alignment horizontal="center" vertical="center" wrapText="1"/>
    </xf>
    <xf numFmtId="41" fontId="17" fillId="0" borderId="40" xfId="5" applyFont="1" applyBorder="1" applyAlignment="1">
      <alignment horizontal="center" vertical="center" wrapText="1"/>
    </xf>
    <xf numFmtId="0" fontId="51" fillId="0" borderId="27" xfId="0" applyFont="1" applyBorder="1" applyAlignment="1">
      <alignment horizontal="center" vertical="center" wrapText="1"/>
    </xf>
    <xf numFmtId="0" fontId="51" fillId="0" borderId="29" xfId="0" applyFont="1" applyBorder="1" applyAlignment="1">
      <alignment horizontal="center" vertical="center" wrapText="1"/>
    </xf>
    <xf numFmtId="0" fontId="51" fillId="0" borderId="30" xfId="0" applyFont="1" applyBorder="1" applyAlignment="1">
      <alignment horizontal="center" vertical="center" wrapText="1"/>
    </xf>
    <xf numFmtId="0" fontId="51" fillId="0" borderId="31" xfId="0" applyFont="1" applyBorder="1" applyAlignment="1">
      <alignment horizontal="center" vertical="center" wrapText="1"/>
    </xf>
    <xf numFmtId="0" fontId="51" fillId="0" borderId="32" xfId="0" applyFont="1" applyBorder="1" applyAlignment="1">
      <alignment horizontal="center" vertical="center" wrapText="1"/>
    </xf>
    <xf numFmtId="0" fontId="51" fillId="0" borderId="34" xfId="0" applyFont="1" applyBorder="1" applyAlignment="1">
      <alignment horizontal="center" vertical="center" wrapText="1"/>
    </xf>
    <xf numFmtId="41" fontId="9" fillId="0" borderId="35" xfId="5" applyFont="1" applyBorder="1" applyAlignment="1">
      <alignment horizontal="center" vertical="center"/>
    </xf>
    <xf numFmtId="176" fontId="17" fillId="0" borderId="39" xfId="0" applyNumberFormat="1" applyFont="1" applyBorder="1" applyAlignment="1">
      <alignment horizontal="center" vertical="center" wrapText="1"/>
    </xf>
    <xf numFmtId="176" fontId="17" fillId="0" borderId="40" xfId="0" applyNumberFormat="1" applyFont="1" applyBorder="1" applyAlignment="1">
      <alignment horizontal="center" vertical="center" wrapText="1"/>
    </xf>
    <xf numFmtId="176" fontId="17" fillId="0" borderId="41" xfId="0" applyNumberFormat="1" applyFont="1" applyBorder="1" applyAlignment="1">
      <alignment horizontal="center" vertical="center" wrapText="1"/>
    </xf>
    <xf numFmtId="177" fontId="32" fillId="0" borderId="35" xfId="0" applyNumberFormat="1" applyFont="1" applyBorder="1" applyAlignment="1">
      <alignment horizontal="center" vertical="center"/>
    </xf>
    <xf numFmtId="177" fontId="9" fillId="0" borderId="35" xfId="0" applyNumberFormat="1" applyFont="1" applyBorder="1" applyAlignment="1">
      <alignment horizontal="center" vertical="center"/>
    </xf>
    <xf numFmtId="0" fontId="32" fillId="0" borderId="39" xfId="0" applyFont="1" applyBorder="1" applyAlignment="1">
      <alignment horizontal="center" vertical="center"/>
    </xf>
    <xf numFmtId="0" fontId="32" fillId="0" borderId="40" xfId="0" applyFont="1" applyBorder="1" applyAlignment="1">
      <alignment horizontal="center" vertical="center"/>
    </xf>
    <xf numFmtId="0" fontId="32" fillId="0" borderId="41" xfId="0" applyFont="1" applyBorder="1" applyAlignment="1">
      <alignment horizontal="center" vertical="center"/>
    </xf>
    <xf numFmtId="176" fontId="32" fillId="0" borderId="35" xfId="0" applyNumberFormat="1" applyFont="1" applyBorder="1" applyAlignment="1">
      <alignment horizontal="center" vertical="center" wrapText="1"/>
    </xf>
    <xf numFmtId="176" fontId="17" fillId="10" borderId="35" xfId="0" applyNumberFormat="1" applyFont="1" applyFill="1" applyBorder="1" applyAlignment="1">
      <alignment horizontal="center" vertical="center" wrapText="1"/>
    </xf>
    <xf numFmtId="0" fontId="17" fillId="0" borderId="50" xfId="0" applyFont="1" applyBorder="1" applyAlignment="1">
      <alignment horizontal="center" vertical="center" wrapText="1"/>
    </xf>
    <xf numFmtId="0" fontId="17" fillId="0" borderId="66" xfId="0" applyFont="1" applyBorder="1" applyAlignment="1">
      <alignment horizontal="center" vertical="center" wrapText="1"/>
    </xf>
    <xf numFmtId="0" fontId="32" fillId="0" borderId="39" xfId="0" applyFont="1" applyBorder="1" applyAlignment="1">
      <alignment horizontal="center" vertical="center" wrapText="1"/>
    </xf>
    <xf numFmtId="0" fontId="32" fillId="0" borderId="40" xfId="0" applyFont="1" applyBorder="1" applyAlignment="1">
      <alignment horizontal="center" vertical="center" wrapText="1"/>
    </xf>
    <xf numFmtId="0" fontId="32" fillId="0" borderId="41" xfId="0" applyFont="1" applyBorder="1" applyAlignment="1">
      <alignment horizontal="center" vertical="center" wrapText="1"/>
    </xf>
    <xf numFmtId="0" fontId="17" fillId="10" borderId="43" xfId="0" applyFont="1" applyFill="1" applyBorder="1" applyAlignment="1">
      <alignment horizontal="center" vertical="center" wrapText="1"/>
    </xf>
    <xf numFmtId="0" fontId="17" fillId="0" borderId="43" xfId="0" applyFont="1" applyBorder="1" applyAlignment="1">
      <alignment horizontal="center" vertical="center" wrapText="1"/>
    </xf>
    <xf numFmtId="0" fontId="17" fillId="0" borderId="51" xfId="0" applyFont="1" applyBorder="1" applyAlignment="1">
      <alignment horizontal="center" vertical="center" wrapText="1"/>
    </xf>
    <xf numFmtId="0" fontId="17" fillId="10" borderId="51" xfId="0" applyFont="1" applyFill="1" applyBorder="1" applyAlignment="1">
      <alignment horizontal="center" vertical="center" wrapText="1"/>
    </xf>
    <xf numFmtId="0" fontId="32" fillId="0" borderId="43" xfId="0" applyFont="1" applyBorder="1" applyAlignment="1">
      <alignment horizontal="left" vertical="center" wrapText="1"/>
    </xf>
    <xf numFmtId="0" fontId="32" fillId="0" borderId="46" xfId="0" applyFont="1" applyBorder="1" applyAlignment="1">
      <alignment horizontal="left" vertical="center" wrapText="1"/>
    </xf>
    <xf numFmtId="41" fontId="9" fillId="0" borderId="43" xfId="5" applyFont="1" applyBorder="1" applyAlignment="1">
      <alignment horizontal="center" vertical="center"/>
    </xf>
    <xf numFmtId="176" fontId="17" fillId="0" borderId="43" xfId="0" applyNumberFormat="1" applyFont="1" applyBorder="1" applyAlignment="1">
      <alignment horizontal="center" vertical="center" wrapText="1"/>
    </xf>
    <xf numFmtId="0" fontId="9" fillId="0" borderId="43" xfId="0" applyFont="1" applyBorder="1" applyAlignment="1">
      <alignment horizontal="center" vertical="center"/>
    </xf>
    <xf numFmtId="0" fontId="17" fillId="0" borderId="60" xfId="0" applyFont="1" applyBorder="1" applyAlignment="1">
      <alignment horizontal="center" vertical="center" wrapText="1"/>
    </xf>
    <xf numFmtId="0" fontId="17" fillId="0" borderId="52" xfId="0" applyFont="1" applyBorder="1" applyAlignment="1">
      <alignment horizontal="center" vertical="center" wrapText="1"/>
    </xf>
    <xf numFmtId="0" fontId="17" fillId="10" borderId="52" xfId="0" applyFont="1" applyFill="1" applyBorder="1" applyAlignment="1">
      <alignment horizontal="center" vertical="center" wrapText="1"/>
    </xf>
    <xf numFmtId="0" fontId="17" fillId="0" borderId="55" xfId="0" applyFont="1" applyBorder="1" applyAlignment="1">
      <alignment horizontal="center" vertical="center" wrapText="1"/>
    </xf>
    <xf numFmtId="0" fontId="17" fillId="0" borderId="0" xfId="0" applyFont="1" applyAlignment="1">
      <alignment horizontal="center" vertical="center"/>
    </xf>
    <xf numFmtId="176" fontId="17" fillId="0" borderId="0" xfId="0" applyNumberFormat="1" applyFont="1" applyAlignment="1">
      <alignment horizontal="center" vertical="center"/>
    </xf>
    <xf numFmtId="14" fontId="32" fillId="0" borderId="35" xfId="0" applyNumberFormat="1" applyFont="1" applyBorder="1" applyAlignment="1">
      <alignment horizontal="center" vertical="center" wrapText="1"/>
    </xf>
    <xf numFmtId="178" fontId="32" fillId="0" borderId="39" xfId="0" applyNumberFormat="1" applyFont="1" applyBorder="1" applyAlignment="1">
      <alignment horizontal="center" vertical="center" wrapText="1"/>
    </xf>
    <xf numFmtId="178" fontId="32" fillId="0" borderId="41" xfId="0" applyNumberFormat="1" applyFont="1" applyBorder="1" applyAlignment="1">
      <alignment horizontal="center" vertical="center" wrapText="1"/>
    </xf>
    <xf numFmtId="0" fontId="9" fillId="0" borderId="0" xfId="0" applyFont="1" applyAlignment="1">
      <alignment horizontal="left" vertical="center"/>
    </xf>
    <xf numFmtId="0" fontId="23" fillId="0" borderId="0" xfId="0" applyFont="1" applyAlignment="1">
      <alignment horizontal="left" vertical="top" wrapText="1"/>
    </xf>
    <xf numFmtId="0" fontId="23" fillId="0" borderId="14" xfId="0" applyFont="1" applyBorder="1" applyAlignment="1">
      <alignment horizontal="left" vertical="top" wrapText="1"/>
    </xf>
    <xf numFmtId="0" fontId="43" fillId="5" borderId="15" xfId="0" applyFont="1" applyFill="1" applyBorder="1" applyAlignment="1">
      <alignment horizontal="center" vertical="center"/>
    </xf>
    <xf numFmtId="176" fontId="24" fillId="0" borderId="0" xfId="0" applyNumberFormat="1" applyFont="1" applyAlignment="1">
      <alignment horizontal="center" vertical="center"/>
    </xf>
    <xf numFmtId="0" fontId="23" fillId="0" borderId="11" xfId="0" applyFont="1" applyBorder="1" applyAlignment="1">
      <alignment horizontal="left" vertical="center" wrapText="1"/>
    </xf>
    <xf numFmtId="15" fontId="0" fillId="0" borderId="0" xfId="0" applyNumberFormat="1" applyAlignment="1">
      <alignment horizontal="center" vertical="center"/>
    </xf>
    <xf numFmtId="15" fontId="0" fillId="0" borderId="14" xfId="0" applyNumberFormat="1" applyBorder="1" applyAlignment="1">
      <alignment horizontal="center" vertical="center"/>
    </xf>
    <xf numFmtId="0" fontId="143" fillId="0" borderId="0" xfId="0" applyFont="1" applyAlignment="1">
      <alignment horizontal="center" vertical="center" wrapText="1"/>
    </xf>
    <xf numFmtId="0" fontId="143" fillId="0" borderId="0" xfId="0" applyFont="1" applyAlignment="1">
      <alignment horizontal="center" vertical="center"/>
    </xf>
    <xf numFmtId="0" fontId="7" fillId="5" borderId="15" xfId="0" applyFont="1" applyFill="1" applyBorder="1" applyAlignment="1">
      <alignment horizontal="center" vertical="center"/>
    </xf>
    <xf numFmtId="0" fontId="16" fillId="0" borderId="187" xfId="0" applyFont="1" applyBorder="1" applyAlignment="1">
      <alignment horizontal="justify" vertical="center" wrapText="1"/>
    </xf>
    <xf numFmtId="0" fontId="16" fillId="0" borderId="0" xfId="0" applyFont="1" applyAlignment="1">
      <alignment horizontal="justify" vertical="center" wrapText="1"/>
    </xf>
    <xf numFmtId="0" fontId="16" fillId="0" borderId="188" xfId="0" applyFont="1" applyBorder="1" applyAlignment="1">
      <alignment horizontal="justify" vertical="center" wrapText="1"/>
    </xf>
    <xf numFmtId="14" fontId="38" fillId="0" borderId="187" xfId="0" applyNumberFormat="1" applyFont="1" applyBorder="1" applyAlignment="1">
      <alignment horizontal="center" vertical="center" wrapText="1"/>
    </xf>
    <xf numFmtId="0" fontId="38" fillId="0" borderId="0" xfId="0" applyFont="1" applyAlignment="1">
      <alignment horizontal="center" vertical="center" wrapText="1"/>
    </xf>
    <xf numFmtId="0" fontId="38" fillId="0" borderId="188" xfId="0" applyFont="1" applyBorder="1" applyAlignment="1">
      <alignment horizontal="center" vertical="center" wrapText="1"/>
    </xf>
    <xf numFmtId="0" fontId="70" fillId="0" borderId="0" xfId="0" applyFont="1" applyAlignment="1">
      <alignment horizontal="left" vertical="center" wrapText="1"/>
    </xf>
    <xf numFmtId="0" fontId="70" fillId="0" borderId="188" xfId="0" applyFont="1" applyBorder="1" applyAlignment="1">
      <alignment horizontal="left" vertical="center" wrapText="1"/>
    </xf>
    <xf numFmtId="0" fontId="35" fillId="0" borderId="0" xfId="0" applyFont="1" applyAlignment="1">
      <alignment horizontal="right" vertical="center" wrapText="1"/>
    </xf>
    <xf numFmtId="0" fontId="38" fillId="0" borderId="187" xfId="0" applyFont="1" applyBorder="1" applyAlignment="1">
      <alignment horizontal="justify" vertical="center" wrapText="1"/>
    </xf>
    <xf numFmtId="0" fontId="38" fillId="0" borderId="0" xfId="0" applyFont="1" applyAlignment="1">
      <alignment horizontal="justify" vertical="center" wrapText="1"/>
    </xf>
    <xf numFmtId="0" fontId="38" fillId="0" borderId="188" xfId="0" applyFont="1" applyBorder="1" applyAlignment="1">
      <alignment horizontal="justify" vertical="center" wrapText="1"/>
    </xf>
    <xf numFmtId="0" fontId="38" fillId="0" borderId="187" xfId="0" applyFont="1" applyBorder="1" applyAlignment="1">
      <alignment horizontal="left" vertical="center" wrapText="1"/>
    </xf>
    <xf numFmtId="0" fontId="38" fillId="0" borderId="0" xfId="0" applyFont="1" applyAlignment="1">
      <alignment horizontal="left" vertical="center" wrapText="1"/>
    </xf>
    <xf numFmtId="0" fontId="38" fillId="0" borderId="188" xfId="0" applyFont="1" applyBorder="1" applyAlignment="1">
      <alignment horizontal="left" vertical="center" wrapText="1"/>
    </xf>
    <xf numFmtId="0" fontId="149" fillId="0" borderId="0" xfId="0" applyFont="1" applyAlignment="1">
      <alignment horizontal="left" vertical="center" wrapText="1"/>
    </xf>
    <xf numFmtId="0" fontId="33" fillId="0" borderId="0" xfId="0" applyFont="1" applyAlignment="1">
      <alignment horizontal="left" vertical="center" wrapText="1"/>
    </xf>
    <xf numFmtId="0" fontId="28" fillId="0" borderId="23" xfId="0" applyFont="1" applyBorder="1" applyAlignment="1">
      <alignment horizontal="center" vertical="center"/>
    </xf>
    <xf numFmtId="0" fontId="28" fillId="0" borderId="16" xfId="0" applyFont="1" applyBorder="1" applyAlignment="1">
      <alignment horizontal="center" vertical="center"/>
    </xf>
    <xf numFmtId="0" fontId="28" fillId="0" borderId="197" xfId="0" applyFont="1" applyBorder="1" applyAlignment="1">
      <alignment horizontal="center" vertical="center"/>
    </xf>
    <xf numFmtId="0" fontId="28" fillId="0" borderId="26" xfId="0" applyFont="1" applyBorder="1" applyAlignment="1">
      <alignment horizontal="center" vertical="center"/>
    </xf>
    <xf numFmtId="0" fontId="28" fillId="0" borderId="23" xfId="0" applyFont="1" applyBorder="1" applyAlignment="1">
      <alignment horizontal="left" vertical="center"/>
    </xf>
    <xf numFmtId="0" fontId="28" fillId="0" borderId="16" xfId="0" applyFont="1" applyBorder="1" applyAlignment="1">
      <alignment horizontal="left" vertical="center"/>
    </xf>
    <xf numFmtId="0" fontId="28" fillId="0" borderId="26" xfId="0" applyFont="1" applyBorder="1" applyAlignment="1">
      <alignment horizontal="left" vertical="center"/>
    </xf>
    <xf numFmtId="0" fontId="28" fillId="0" borderId="197" xfId="0" applyFont="1" applyBorder="1" applyAlignment="1">
      <alignment horizontal="left" vertical="center"/>
    </xf>
    <xf numFmtId="0" fontId="28" fillId="0" borderId="10" xfId="0" applyFont="1" applyBorder="1" applyAlignment="1">
      <alignment horizontal="left" vertical="center" wrapText="1"/>
    </xf>
    <xf numFmtId="0" fontId="28" fillId="0" borderId="11" xfId="0" applyFont="1" applyBorder="1" applyAlignment="1">
      <alignment horizontal="left" vertical="center" wrapText="1"/>
    </xf>
    <xf numFmtId="0" fontId="28" fillId="0" borderId="12" xfId="0" applyFont="1" applyBorder="1" applyAlignment="1">
      <alignment horizontal="left" vertical="center" wrapText="1"/>
    </xf>
    <xf numFmtId="0" fontId="28" fillId="0" borderId="13" xfId="0" applyFont="1" applyBorder="1" applyAlignment="1">
      <alignment horizontal="left" vertical="center" wrapText="1"/>
    </xf>
    <xf numFmtId="0" fontId="28" fillId="0" borderId="0" xfId="0" applyFont="1" applyAlignment="1">
      <alignment horizontal="left" vertical="center" wrapText="1"/>
    </xf>
    <xf numFmtId="0" fontId="28" fillId="0" borderId="14" xfId="0" applyFont="1" applyBorder="1" applyAlignment="1">
      <alignment horizontal="left" vertical="center" wrapText="1"/>
    </xf>
    <xf numFmtId="0" fontId="139" fillId="0" borderId="23" xfId="0" applyFont="1" applyBorder="1" applyAlignment="1">
      <alignment horizontal="center" vertical="center"/>
    </xf>
    <xf numFmtId="0" fontId="139" fillId="0" borderId="26" xfId="0" applyFont="1" applyBorder="1" applyAlignment="1">
      <alignment horizontal="center" vertical="center"/>
    </xf>
    <xf numFmtId="0" fontId="38" fillId="0" borderId="21" xfId="0" applyFont="1" applyBorder="1" applyAlignment="1">
      <alignment vertical="center" wrapText="1"/>
    </xf>
    <xf numFmtId="0" fontId="38" fillId="0" borderId="18" xfId="0" applyFont="1" applyBorder="1" applyAlignment="1">
      <alignment vertical="center" wrapText="1"/>
    </xf>
    <xf numFmtId="0" fontId="38" fillId="0" borderId="21" xfId="0" applyFont="1" applyBorder="1" applyAlignment="1">
      <alignment horizontal="center" vertical="center" wrapText="1"/>
    </xf>
    <xf numFmtId="0" fontId="38" fillId="0" borderId="22" xfId="0" applyFont="1" applyBorder="1" applyAlignment="1">
      <alignment horizontal="center" vertical="center" wrapText="1"/>
    </xf>
    <xf numFmtId="0" fontId="38" fillId="0" borderId="18" xfId="0" applyFont="1" applyBorder="1" applyAlignment="1">
      <alignment horizontal="center" vertical="center" wrapText="1"/>
    </xf>
    <xf numFmtId="0" fontId="38" fillId="0" borderId="22" xfId="0" applyFont="1" applyBorder="1" applyAlignment="1">
      <alignment vertical="center" wrapText="1"/>
    </xf>
    <xf numFmtId="0" fontId="38" fillId="0" borderId="21" xfId="0" applyFont="1" applyBorder="1" applyAlignment="1">
      <alignment horizontal="justify" vertical="center" wrapText="1"/>
    </xf>
    <xf numFmtId="0" fontId="38" fillId="0" borderId="22" xfId="0" applyFont="1" applyBorder="1" applyAlignment="1">
      <alignment horizontal="justify" vertical="center" wrapText="1"/>
    </xf>
    <xf numFmtId="0" fontId="38" fillId="0" borderId="18" xfId="0" applyFont="1" applyBorder="1" applyAlignment="1">
      <alignment horizontal="justify" vertical="center" wrapText="1"/>
    </xf>
    <xf numFmtId="0" fontId="16" fillId="0" borderId="192" xfId="0" applyFont="1" applyBorder="1" applyAlignment="1">
      <alignment horizontal="justify" vertical="center" wrapText="1"/>
    </xf>
    <xf numFmtId="0" fontId="16" fillId="0" borderId="193" xfId="0" applyFont="1" applyBorder="1" applyAlignment="1">
      <alignment horizontal="justify" vertical="center" wrapText="1"/>
    </xf>
    <xf numFmtId="0" fontId="16" fillId="0" borderId="194" xfId="0" applyFont="1" applyBorder="1" applyAlignment="1">
      <alignment horizontal="justify" vertical="center" wrapText="1"/>
    </xf>
    <xf numFmtId="0" fontId="27" fillId="20" borderId="23" xfId="0" applyFont="1" applyFill="1" applyBorder="1" applyAlignment="1">
      <alignment horizontal="center" vertical="center"/>
    </xf>
    <xf numFmtId="0" fontId="27" fillId="20" borderId="16" xfId="0" applyFont="1" applyFill="1" applyBorder="1" applyAlignment="1">
      <alignment horizontal="center" vertical="center"/>
    </xf>
    <xf numFmtId="0" fontId="27" fillId="20" borderId="26" xfId="0" applyFont="1" applyFill="1" applyBorder="1" applyAlignment="1">
      <alignment horizontal="center" vertical="center"/>
    </xf>
    <xf numFmtId="0" fontId="130" fillId="0" borderId="121" xfId="0" applyFont="1" applyBorder="1" applyAlignment="1">
      <alignment horizontal="center" vertical="center" wrapText="1"/>
    </xf>
    <xf numFmtId="0" fontId="130" fillId="0" borderId="134" xfId="0" applyFont="1" applyBorder="1" applyAlignment="1">
      <alignment horizontal="center" vertical="center"/>
    </xf>
    <xf numFmtId="0" fontId="130" fillId="0" borderId="124" xfId="0" applyFont="1" applyBorder="1" applyAlignment="1">
      <alignment horizontal="center" vertical="center"/>
    </xf>
    <xf numFmtId="3" fontId="130" fillId="0" borderId="121" xfId="0" applyNumberFormat="1" applyFont="1" applyBorder="1" applyAlignment="1">
      <alignment horizontal="center" vertical="center"/>
    </xf>
    <xf numFmtId="3" fontId="130" fillId="0" borderId="134" xfId="0" applyNumberFormat="1" applyFont="1" applyBorder="1" applyAlignment="1">
      <alignment horizontal="center" vertical="center"/>
    </xf>
    <xf numFmtId="3" fontId="130" fillId="0" borderId="124" xfId="0" applyNumberFormat="1" applyFont="1" applyBorder="1" applyAlignment="1">
      <alignment horizontal="center" vertical="center"/>
    </xf>
    <xf numFmtId="0" fontId="139" fillId="0" borderId="10" xfId="0" applyFont="1" applyBorder="1" applyAlignment="1">
      <alignment horizontal="center" vertical="center"/>
    </xf>
    <xf numFmtId="0" fontId="139" fillId="0" borderId="12" xfId="0" applyFont="1" applyBorder="1" applyAlignment="1">
      <alignment horizontal="center" vertical="center"/>
    </xf>
    <xf numFmtId="0" fontId="139" fillId="0" borderId="25" xfId="0" applyFont="1" applyBorder="1" applyAlignment="1">
      <alignment horizontal="center" vertical="center"/>
    </xf>
    <xf numFmtId="0" fontId="139" fillId="0" borderId="24" xfId="0" applyFont="1" applyBorder="1" applyAlignment="1">
      <alignment horizontal="center" vertical="center"/>
    </xf>
    <xf numFmtId="0" fontId="28" fillId="0" borderId="10" xfId="0" applyFont="1" applyBorder="1" applyAlignment="1">
      <alignment horizontal="left" vertical="center"/>
    </xf>
    <xf numFmtId="0" fontId="28" fillId="0" borderId="11" xfId="0" applyFont="1" applyBorder="1" applyAlignment="1">
      <alignment horizontal="left" vertical="center"/>
    </xf>
    <xf numFmtId="0" fontId="28" fillId="0" borderId="12" xfId="0" applyFont="1" applyBorder="1" applyAlignment="1">
      <alignment horizontal="left" vertical="center"/>
    </xf>
    <xf numFmtId="0" fontId="28" fillId="0" borderId="25" xfId="0" applyFont="1" applyBorder="1" applyAlignment="1">
      <alignment horizontal="left" vertical="center"/>
    </xf>
    <xf numFmtId="0" fontId="28" fillId="0" borderId="15" xfId="0" applyFont="1" applyBorder="1" applyAlignment="1">
      <alignment horizontal="left" vertical="center"/>
    </xf>
    <xf numFmtId="0" fontId="28" fillId="0" borderId="24" xfId="0" applyFont="1" applyBorder="1" applyAlignment="1">
      <alignment horizontal="left" vertical="center"/>
    </xf>
    <xf numFmtId="0" fontId="35" fillId="0" borderId="0" xfId="0" applyFont="1" applyAlignment="1">
      <alignment horizontal="center" vertical="center" wrapText="1"/>
    </xf>
    <xf numFmtId="0" fontId="142" fillId="0" borderId="21" xfId="0" applyFont="1" applyBorder="1" applyAlignment="1">
      <alignment horizontal="center" vertical="center" wrapText="1"/>
    </xf>
    <xf numFmtId="0" fontId="142" fillId="0" borderId="22" xfId="0" applyFont="1" applyBorder="1" applyAlignment="1">
      <alignment horizontal="center" vertical="center" wrapText="1"/>
    </xf>
    <xf numFmtId="0" fontId="142" fillId="0" borderId="18" xfId="0" applyFont="1" applyBorder="1" applyAlignment="1">
      <alignment horizontal="center" vertical="center" wrapText="1"/>
    </xf>
    <xf numFmtId="0" fontId="35" fillId="0" borderId="187" xfId="0" applyFont="1" applyBorder="1" applyAlignment="1">
      <alignment horizontal="center" vertical="center" wrapText="1"/>
    </xf>
    <xf numFmtId="0" fontId="35" fillId="0" borderId="188" xfId="0" applyFont="1" applyBorder="1" applyAlignment="1">
      <alignment horizontal="center" vertical="center" wrapText="1"/>
    </xf>
    <xf numFmtId="0" fontId="140" fillId="0" borderId="187" xfId="0" applyFont="1" applyBorder="1" applyAlignment="1">
      <alignment horizontal="justify" vertical="center" wrapText="1"/>
    </xf>
    <xf numFmtId="0" fontId="140" fillId="0" borderId="0" xfId="0" applyFont="1" applyAlignment="1">
      <alignment horizontal="justify" vertical="center" wrapText="1"/>
    </xf>
    <xf numFmtId="0" fontId="140" fillId="0" borderId="188" xfId="0" applyFont="1" applyBorder="1" applyAlignment="1">
      <alignment horizontal="justify" vertical="center" wrapText="1"/>
    </xf>
    <xf numFmtId="0" fontId="16" fillId="0" borderId="189" xfId="0" applyFont="1" applyBorder="1" applyAlignment="1">
      <alignment horizontal="justify" vertical="center" wrapText="1"/>
    </xf>
    <xf numFmtId="0" fontId="16" fillId="0" borderId="190" xfId="0" applyFont="1" applyBorder="1" applyAlignment="1">
      <alignment horizontal="justify" vertical="center" wrapText="1"/>
    </xf>
    <xf numFmtId="0" fontId="16" fillId="0" borderId="191" xfId="0" applyFont="1" applyBorder="1" applyAlignment="1">
      <alignment horizontal="justify" vertical="center" wrapText="1"/>
    </xf>
    <xf numFmtId="0" fontId="146" fillId="9" borderId="131" xfId="10" applyFont="1" applyFill="1" applyBorder="1" applyAlignment="1">
      <alignment horizontal="left" vertical="center" wrapText="1"/>
    </xf>
    <xf numFmtId="0" fontId="146" fillId="9" borderId="132" xfId="10" applyFont="1" applyFill="1" applyBorder="1" applyAlignment="1">
      <alignment horizontal="left" vertical="center" wrapText="1"/>
    </xf>
    <xf numFmtId="0" fontId="146" fillId="9" borderId="133" xfId="10" applyFont="1" applyFill="1" applyBorder="1" applyAlignment="1">
      <alignment horizontal="left" vertical="center" wrapText="1"/>
    </xf>
    <xf numFmtId="0" fontId="35" fillId="9" borderId="0" xfId="10" applyFont="1" applyFill="1" applyAlignment="1">
      <alignment horizontal="left" vertical="center" wrapText="1"/>
    </xf>
    <xf numFmtId="0" fontId="17" fillId="16" borderId="23" xfId="10" applyFont="1" applyFill="1" applyBorder="1" applyAlignment="1">
      <alignment horizontal="center" vertical="center" wrapText="1"/>
    </xf>
    <xf numFmtId="0" fontId="17" fillId="16" borderId="26" xfId="10" applyFont="1" applyFill="1" applyBorder="1" applyAlignment="1">
      <alignment horizontal="center" vertical="center" wrapText="1"/>
    </xf>
    <xf numFmtId="0" fontId="17" fillId="9" borderId="23" xfId="10" applyFont="1" applyFill="1" applyBorder="1" applyAlignment="1">
      <alignment horizontal="left" vertical="center" wrapText="1"/>
    </xf>
    <xf numFmtId="0" fontId="17" fillId="9" borderId="16" xfId="10" applyFont="1" applyFill="1" applyBorder="1" applyAlignment="1">
      <alignment horizontal="left" vertical="center" wrapText="1"/>
    </xf>
    <xf numFmtId="0" fontId="17" fillId="9" borderId="26" xfId="10" applyFont="1" applyFill="1" applyBorder="1" applyAlignment="1">
      <alignment horizontal="left" vertical="center" wrapText="1"/>
    </xf>
    <xf numFmtId="0" fontId="38" fillId="9" borderId="0" xfId="10" applyFont="1" applyFill="1" applyAlignment="1">
      <alignment horizontal="left" vertical="center" wrapText="1"/>
    </xf>
    <xf numFmtId="176" fontId="34" fillId="0" borderId="0" xfId="10" applyNumberFormat="1" applyFont="1" applyAlignment="1">
      <alignment horizontal="center" vertical="center"/>
    </xf>
    <xf numFmtId="0" fontId="9" fillId="0" borderId="15" xfId="10" applyBorder="1" applyAlignment="1">
      <alignment horizontal="center" vertical="center"/>
    </xf>
    <xf numFmtId="0" fontId="9" fillId="0" borderId="11" xfId="10" applyBorder="1" applyAlignment="1">
      <alignment horizontal="left" vertical="center" wrapText="1"/>
    </xf>
    <xf numFmtId="0" fontId="146" fillId="9" borderId="15" xfId="10" applyFont="1" applyFill="1" applyBorder="1" applyAlignment="1">
      <alignment horizontal="left" vertical="center" wrapText="1"/>
    </xf>
    <xf numFmtId="0" fontId="9" fillId="0" borderId="16" xfId="10" applyBorder="1" applyAlignment="1">
      <alignment horizontal="center" vertical="center"/>
    </xf>
    <xf numFmtId="0" fontId="46" fillId="0" borderId="132" xfId="10" applyFont="1" applyBorder="1" applyAlignment="1">
      <alignment horizontal="center" vertical="center"/>
    </xf>
    <xf numFmtId="0" fontId="146" fillId="16" borderId="23" xfId="10" applyFont="1" applyFill="1" applyBorder="1" applyAlignment="1">
      <alignment horizontal="center" vertical="center" wrapText="1"/>
    </xf>
    <xf numFmtId="0" fontId="146" fillId="16" borderId="26" xfId="10" applyFont="1" applyFill="1" applyBorder="1" applyAlignment="1">
      <alignment horizontal="center" vertical="center" wrapText="1"/>
    </xf>
    <xf numFmtId="0" fontId="46" fillId="9" borderId="131" xfId="10" applyFont="1" applyFill="1" applyBorder="1" applyAlignment="1">
      <alignment horizontal="center" vertical="center" wrapText="1"/>
    </xf>
    <xf numFmtId="0" fontId="46" fillId="9" borderId="132" xfId="10" applyFont="1" applyFill="1" applyBorder="1" applyAlignment="1">
      <alignment horizontal="center" vertical="center" wrapText="1"/>
    </xf>
    <xf numFmtId="0" fontId="46" fillId="9" borderId="133" xfId="10" applyFont="1" applyFill="1" applyBorder="1" applyAlignment="1">
      <alignment horizontal="center" vertical="center" wrapText="1"/>
    </xf>
    <xf numFmtId="0" fontId="9" fillId="9" borderId="16" xfId="10" applyFill="1" applyBorder="1" applyAlignment="1">
      <alignment horizontal="left" vertical="center" wrapText="1"/>
    </xf>
    <xf numFmtId="0" fontId="16" fillId="9" borderId="23" xfId="10" applyFont="1" applyFill="1" applyBorder="1" applyAlignment="1">
      <alignment horizontal="center" vertical="center" wrapText="1"/>
    </xf>
    <xf numFmtId="0" fontId="16" fillId="9" borderId="16" xfId="10" applyFont="1" applyFill="1" applyBorder="1" applyAlignment="1">
      <alignment horizontal="center" vertical="center" wrapText="1"/>
    </xf>
    <xf numFmtId="0" fontId="16" fillId="9" borderId="26" xfId="10" applyFont="1" applyFill="1" applyBorder="1" applyAlignment="1">
      <alignment horizontal="center" vertical="center" wrapText="1"/>
    </xf>
    <xf numFmtId="0" fontId="9" fillId="17" borderId="23" xfId="10" applyFill="1" applyBorder="1" applyAlignment="1">
      <alignment horizontal="center" vertical="center" wrapText="1"/>
    </xf>
    <xf numFmtId="0" fontId="9" fillId="17" borderId="26" xfId="10" applyFill="1" applyBorder="1" applyAlignment="1">
      <alignment horizontal="center" vertical="center" wrapText="1"/>
    </xf>
    <xf numFmtId="0" fontId="46" fillId="0" borderId="128" xfId="10" applyFont="1" applyBorder="1" applyAlignment="1">
      <alignment horizontal="center" vertical="center" wrapText="1"/>
    </xf>
    <xf numFmtId="0" fontId="46" fillId="0" borderId="129" xfId="10" applyFont="1" applyBorder="1" applyAlignment="1">
      <alignment horizontal="center" vertical="center" wrapText="1"/>
    </xf>
    <xf numFmtId="0" fontId="46" fillId="0" borderId="130" xfId="10" applyFont="1" applyBorder="1" applyAlignment="1">
      <alignment horizontal="center" vertical="center" wrapText="1"/>
    </xf>
    <xf numFmtId="187" fontId="9" fillId="0" borderId="23" xfId="10" applyNumberFormat="1" applyBorder="1" applyAlignment="1">
      <alignment horizontal="center" vertical="center" wrapText="1"/>
    </xf>
    <xf numFmtId="187" fontId="9" fillId="0" borderId="16" xfId="10" applyNumberFormat="1" applyBorder="1" applyAlignment="1">
      <alignment horizontal="center" vertical="center" wrapText="1"/>
    </xf>
    <xf numFmtId="187" fontId="9" fillId="0" borderId="26" xfId="10" applyNumberFormat="1" applyBorder="1" applyAlignment="1">
      <alignment horizontal="center" vertical="center" wrapText="1"/>
    </xf>
    <xf numFmtId="0" fontId="17" fillId="9" borderId="0" xfId="10" applyFont="1" applyFill="1" applyAlignment="1">
      <alignment horizontal="left" vertical="center" wrapText="1"/>
    </xf>
    <xf numFmtId="186" fontId="9" fillId="0" borderId="23" xfId="10" applyNumberFormat="1" applyBorder="1" applyAlignment="1">
      <alignment horizontal="center" vertical="center" wrapText="1"/>
    </xf>
    <xf numFmtId="186" fontId="9" fillId="0" borderId="16" xfId="10" applyNumberFormat="1" applyBorder="1" applyAlignment="1">
      <alignment horizontal="center" vertical="center" wrapText="1"/>
    </xf>
    <xf numFmtId="186" fontId="9" fillId="0" borderId="26" xfId="10" applyNumberFormat="1" applyBorder="1" applyAlignment="1">
      <alignment horizontal="center" vertical="center" wrapText="1"/>
    </xf>
    <xf numFmtId="0" fontId="17" fillId="9" borderId="15" xfId="10" applyFont="1" applyFill="1" applyBorder="1" applyAlignment="1">
      <alignment horizontal="left" vertical="center" wrapText="1"/>
    </xf>
    <xf numFmtId="0" fontId="9" fillId="17" borderId="10" xfId="10" applyFill="1" applyBorder="1" applyAlignment="1">
      <alignment horizontal="center" vertical="center" wrapText="1"/>
    </xf>
    <xf numFmtId="0" fontId="9" fillId="17" borderId="12" xfId="10" applyFill="1" applyBorder="1" applyAlignment="1">
      <alignment horizontal="center" vertical="center" wrapText="1"/>
    </xf>
    <xf numFmtId="0" fontId="9" fillId="17" borderId="25" xfId="10" applyFill="1" applyBorder="1" applyAlignment="1">
      <alignment horizontal="center" vertical="center" wrapText="1"/>
    </xf>
    <xf numFmtId="0" fontId="9" fillId="17" borderId="24" xfId="10" applyFill="1" applyBorder="1" applyAlignment="1">
      <alignment horizontal="center" vertical="center" wrapText="1"/>
    </xf>
    <xf numFmtId="0" fontId="146" fillId="17" borderId="10" xfId="10" applyFont="1" applyFill="1" applyBorder="1" applyAlignment="1">
      <alignment horizontal="center" vertical="center" wrapText="1"/>
    </xf>
    <xf numFmtId="0" fontId="146" fillId="17" borderId="11" xfId="10" applyFont="1" applyFill="1" applyBorder="1" applyAlignment="1">
      <alignment horizontal="center" vertical="center" wrapText="1"/>
    </xf>
    <xf numFmtId="0" fontId="146" fillId="17" borderId="12" xfId="10" applyFont="1" applyFill="1" applyBorder="1" applyAlignment="1">
      <alignment horizontal="center" vertical="center" wrapText="1"/>
    </xf>
    <xf numFmtId="0" fontId="146" fillId="17" borderId="25" xfId="10" applyFont="1" applyFill="1" applyBorder="1" applyAlignment="1">
      <alignment horizontal="center" vertical="center" wrapText="1"/>
    </xf>
    <xf numFmtId="0" fontId="146" fillId="17" borderId="15" xfId="10" applyFont="1" applyFill="1" applyBorder="1" applyAlignment="1">
      <alignment horizontal="center" vertical="center" wrapText="1"/>
    </xf>
    <xf numFmtId="0" fontId="146" fillId="17" borderId="24" xfId="10" applyFont="1" applyFill="1" applyBorder="1" applyAlignment="1">
      <alignment horizontal="center" vertical="center" wrapText="1"/>
    </xf>
    <xf numFmtId="0" fontId="9" fillId="17" borderId="11" xfId="10" applyFill="1" applyBorder="1" applyAlignment="1">
      <alignment horizontal="center" vertical="center" wrapText="1"/>
    </xf>
    <xf numFmtId="0" fontId="9" fillId="17" borderId="15" xfId="10" applyFill="1" applyBorder="1" applyAlignment="1">
      <alignment horizontal="center" vertical="center" wrapText="1"/>
    </xf>
    <xf numFmtId="0" fontId="9" fillId="0" borderId="0" xfId="10" applyAlignment="1">
      <alignment horizontal="left" vertical="center"/>
    </xf>
    <xf numFmtId="0" fontId="19" fillId="0" borderId="0" xfId="10" applyFont="1" applyAlignment="1">
      <alignment horizontal="center" vertical="center" wrapText="1"/>
    </xf>
    <xf numFmtId="0" fontId="56" fillId="0" borderId="0" xfId="10" applyFont="1" applyAlignment="1">
      <alignment horizontal="left" vertical="center" wrapText="1"/>
    </xf>
    <xf numFmtId="0" fontId="17" fillId="10" borderId="121" xfId="10" applyFont="1" applyFill="1" applyBorder="1" applyAlignment="1">
      <alignment horizontal="center" vertical="center" wrapText="1"/>
    </xf>
    <xf numFmtId="0" fontId="17" fillId="10" borderId="124" xfId="10" applyFont="1" applyFill="1" applyBorder="1" applyAlignment="1">
      <alignment horizontal="center" vertical="center" wrapText="1"/>
    </xf>
    <xf numFmtId="0" fontId="17" fillId="0" borderId="10" xfId="10" applyFont="1" applyBorder="1" applyAlignment="1">
      <alignment horizontal="center" vertical="center" wrapText="1"/>
    </xf>
    <xf numFmtId="0" fontId="17" fillId="0" borderId="11" xfId="10" applyFont="1" applyBorder="1" applyAlignment="1">
      <alignment horizontal="center" vertical="center" wrapText="1"/>
    </xf>
    <xf numFmtId="0" fontId="17" fillId="0" borderId="12" xfId="10" applyFont="1" applyBorder="1" applyAlignment="1">
      <alignment horizontal="center" vertical="center" wrapText="1"/>
    </xf>
    <xf numFmtId="0" fontId="17" fillId="0" borderId="25" xfId="10" applyFont="1" applyBorder="1" applyAlignment="1">
      <alignment horizontal="center" vertical="center" wrapText="1"/>
    </xf>
    <xf numFmtId="0" fontId="17" fillId="0" borderId="15" xfId="10" applyFont="1" applyBorder="1" applyAlignment="1">
      <alignment horizontal="center" vertical="center" wrapText="1"/>
    </xf>
    <xf numFmtId="0" fontId="17" fillId="0" borderId="24" xfId="10" applyFont="1" applyBorder="1" applyAlignment="1">
      <alignment horizontal="center" vertical="center" wrapText="1"/>
    </xf>
    <xf numFmtId="0" fontId="9" fillId="10" borderId="121" xfId="10" applyFill="1" applyBorder="1" applyAlignment="1">
      <alignment horizontal="center" vertical="center" wrapText="1"/>
    </xf>
    <xf numFmtId="0" fontId="9" fillId="10" borderId="124" xfId="10" applyFill="1" applyBorder="1" applyAlignment="1">
      <alignment horizontal="center" vertical="center" wrapText="1"/>
    </xf>
    <xf numFmtId="0" fontId="17" fillId="10" borderId="23" xfId="10" applyFont="1" applyFill="1" applyBorder="1" applyAlignment="1">
      <alignment horizontal="center" vertical="center" wrapText="1"/>
    </xf>
    <xf numFmtId="0" fontId="17" fillId="10" borderId="16" xfId="10" applyFont="1" applyFill="1" applyBorder="1" applyAlignment="1">
      <alignment horizontal="center" vertical="center" wrapText="1"/>
    </xf>
    <xf numFmtId="0" fontId="17" fillId="10" borderId="26" xfId="10" applyFont="1" applyFill="1" applyBorder="1" applyAlignment="1">
      <alignment horizontal="center" vertical="center" wrapText="1"/>
    </xf>
    <xf numFmtId="0" fontId="9" fillId="0" borderId="23" xfId="10" applyBorder="1" applyAlignment="1">
      <alignment horizontal="center" vertical="center" wrapText="1"/>
    </xf>
    <xf numFmtId="0" fontId="9" fillId="0" borderId="26" xfId="10" applyBorder="1" applyAlignment="1">
      <alignment horizontal="center" vertical="center" wrapText="1"/>
    </xf>
    <xf numFmtId="0" fontId="56" fillId="0" borderId="0" xfId="10" applyFont="1" applyAlignment="1">
      <alignment horizontal="center" vertical="center" wrapText="1"/>
    </xf>
    <xf numFmtId="0" fontId="141" fillId="0" borderId="118" xfId="10" applyFont="1" applyBorder="1" applyAlignment="1">
      <alignment horizontal="left" vertical="top" wrapText="1"/>
    </xf>
    <xf numFmtId="0" fontId="141" fillId="0" borderId="119" xfId="10" applyFont="1" applyBorder="1" applyAlignment="1">
      <alignment horizontal="left" vertical="top" wrapText="1"/>
    </xf>
    <xf numFmtId="0" fontId="141" fillId="0" borderId="120" xfId="10" applyFont="1" applyBorder="1" applyAlignment="1">
      <alignment horizontal="left" vertical="top" wrapText="1"/>
    </xf>
    <xf numFmtId="0" fontId="141" fillId="0" borderId="122" xfId="10" applyFont="1" applyBorder="1" applyAlignment="1">
      <alignment horizontal="left" vertical="top" wrapText="1"/>
    </xf>
    <xf numFmtId="0" fontId="141" fillId="0" borderId="0" xfId="10" applyFont="1" applyAlignment="1">
      <alignment horizontal="left" vertical="top" wrapText="1"/>
    </xf>
    <xf numFmtId="0" fontId="141" fillId="0" borderId="123" xfId="10" applyFont="1" applyBorder="1" applyAlignment="1">
      <alignment horizontal="left" vertical="top" wrapText="1"/>
    </xf>
    <xf numFmtId="0" fontId="141" fillId="0" borderId="125" xfId="10" applyFont="1" applyBorder="1" applyAlignment="1">
      <alignment horizontal="left" vertical="top" wrapText="1"/>
    </xf>
    <xf numFmtId="0" fontId="141" fillId="0" borderId="126" xfId="10" applyFont="1" applyBorder="1" applyAlignment="1">
      <alignment horizontal="left" vertical="top" wrapText="1"/>
    </xf>
    <xf numFmtId="0" fontId="141" fillId="0" borderId="127" xfId="10" applyFont="1" applyBorder="1" applyAlignment="1">
      <alignment horizontal="left" vertical="top" wrapText="1"/>
    </xf>
    <xf numFmtId="0" fontId="17" fillId="0" borderId="23" xfId="10" applyFont="1" applyBorder="1" applyAlignment="1">
      <alignment horizontal="center" vertical="center" wrapText="1"/>
    </xf>
    <xf numFmtId="0" fontId="17" fillId="0" borderId="16" xfId="10" applyFont="1" applyBorder="1" applyAlignment="1">
      <alignment horizontal="center" vertical="center" wrapText="1"/>
    </xf>
    <xf numFmtId="0" fontId="17" fillId="0" borderId="26" xfId="10" applyFont="1" applyBorder="1" applyAlignment="1">
      <alignment horizontal="center" vertical="center" wrapText="1"/>
    </xf>
    <xf numFmtId="0" fontId="17" fillId="0" borderId="23" xfId="10" applyFont="1" applyBorder="1" applyAlignment="1">
      <alignment horizontal="left" vertical="center" wrapText="1"/>
    </xf>
    <xf numFmtId="0" fontId="17" fillId="0" borderId="16" xfId="10" applyFont="1" applyBorder="1" applyAlignment="1">
      <alignment horizontal="left" vertical="center" wrapText="1"/>
    </xf>
    <xf numFmtId="0" fontId="17" fillId="0" borderId="26" xfId="10" applyFont="1" applyBorder="1" applyAlignment="1">
      <alignment horizontal="left" vertical="center" wrapText="1"/>
    </xf>
    <xf numFmtId="0" fontId="17" fillId="9" borderId="0" xfId="10" applyFont="1" applyFill="1" applyAlignment="1">
      <alignment horizontal="center" vertical="center" wrapText="1"/>
    </xf>
    <xf numFmtId="0" fontId="9" fillId="10" borderId="23" xfId="10" applyFill="1" applyBorder="1" applyAlignment="1">
      <alignment horizontal="center" vertical="center"/>
    </xf>
    <xf numFmtId="0" fontId="9" fillId="10" borderId="26" xfId="10" applyFill="1" applyBorder="1" applyAlignment="1">
      <alignment horizontal="center" vertical="center"/>
    </xf>
    <xf numFmtId="0" fontId="35" fillId="9" borderId="0" xfId="0" applyFont="1" applyFill="1" applyAlignment="1">
      <alignment horizontal="center" vertical="center" wrapText="1"/>
    </xf>
    <xf numFmtId="0" fontId="35" fillId="9" borderId="15" xfId="0" applyFont="1" applyFill="1" applyBorder="1" applyAlignment="1">
      <alignment horizontal="center" vertical="center" wrapText="1"/>
    </xf>
    <xf numFmtId="0" fontId="35" fillId="9" borderId="0" xfId="0" applyFont="1" applyFill="1" applyAlignment="1">
      <alignment horizontal="right" vertical="center" wrapText="1"/>
    </xf>
    <xf numFmtId="176" fontId="34" fillId="0" borderId="0" xfId="0" applyNumberFormat="1" applyFont="1" applyAlignment="1">
      <alignment horizontal="center" vertical="center"/>
    </xf>
    <xf numFmtId="177" fontId="32" fillId="0" borderId="35" xfId="0" applyNumberFormat="1" applyFont="1" applyBorder="1" applyAlignment="1">
      <alignment horizontal="center" vertical="center" wrapText="1"/>
    </xf>
    <xf numFmtId="9" fontId="17" fillId="0" borderId="35" xfId="6" applyFont="1" applyFill="1" applyBorder="1" applyAlignment="1">
      <alignment horizontal="center" vertical="center" wrapText="1"/>
    </xf>
    <xf numFmtId="41" fontId="17" fillId="0" borderId="35" xfId="5" applyFont="1" applyFill="1" applyBorder="1" applyAlignment="1">
      <alignment horizontal="right" vertical="center" wrapText="1"/>
    </xf>
    <xf numFmtId="0" fontId="10" fillId="0" borderId="35" xfId="4" applyFill="1" applyBorder="1" applyAlignment="1">
      <alignment horizontal="center" vertical="center" wrapText="1"/>
    </xf>
    <xf numFmtId="0" fontId="32" fillId="0" borderId="35" xfId="0" applyFont="1" applyBorder="1" applyAlignment="1">
      <alignment horizontal="center" vertical="center" wrapText="1"/>
    </xf>
    <xf numFmtId="0" fontId="134" fillId="0" borderId="0" xfId="0" applyFont="1" applyAlignment="1">
      <alignment horizontal="left" vertical="center" wrapText="1"/>
    </xf>
    <xf numFmtId="0" fontId="134" fillId="0" borderId="0" xfId="0" applyFont="1" applyAlignment="1">
      <alignment horizontal="left" vertical="center"/>
    </xf>
    <xf numFmtId="0" fontId="17" fillId="9" borderId="35" xfId="0" applyFont="1" applyFill="1" applyBorder="1" applyAlignment="1">
      <alignment horizontal="center" vertical="center" wrapText="1"/>
    </xf>
    <xf numFmtId="41" fontId="17" fillId="0" borderId="35" xfId="5" applyFont="1" applyFill="1" applyBorder="1" applyAlignment="1">
      <alignment horizontal="center" vertical="center" wrapText="1"/>
    </xf>
    <xf numFmtId="0" fontId="43" fillId="9" borderId="0" xfId="0" applyFont="1" applyFill="1" applyAlignment="1">
      <alignment horizontal="left" vertical="center" wrapText="1"/>
    </xf>
    <xf numFmtId="0" fontId="31" fillId="8" borderId="0" xfId="7" applyFont="1" applyFill="1" applyBorder="1" applyAlignment="1">
      <alignment horizontal="left" vertical="center"/>
    </xf>
    <xf numFmtId="0" fontId="16" fillId="9" borderId="0" xfId="0" applyFont="1" applyFill="1" applyAlignment="1">
      <alignment horizontal="left" vertical="center" wrapText="1"/>
    </xf>
    <xf numFmtId="41" fontId="32" fillId="0" borderId="39" xfId="5" applyFont="1" applyBorder="1" applyAlignment="1">
      <alignment horizontal="center" vertical="center"/>
    </xf>
    <xf numFmtId="41" fontId="32" fillId="0" borderId="41" xfId="5" applyFont="1" applyBorder="1" applyAlignment="1">
      <alignment horizontal="center" vertical="center"/>
    </xf>
    <xf numFmtId="41" fontId="22" fillId="10" borderId="35" xfId="5" applyFont="1" applyFill="1" applyBorder="1" applyAlignment="1">
      <alignment horizontal="center" vertical="center" wrapText="1"/>
    </xf>
    <xf numFmtId="9" fontId="22" fillId="0" borderId="39" xfId="5" applyNumberFormat="1" applyFont="1" applyFill="1" applyBorder="1" applyAlignment="1">
      <alignment horizontal="center" vertical="center" wrapText="1"/>
    </xf>
    <xf numFmtId="9" fontId="22" fillId="0" borderId="41" xfId="5" applyNumberFormat="1" applyFont="1" applyFill="1" applyBorder="1" applyAlignment="1">
      <alignment horizontal="center" vertical="center" wrapText="1"/>
    </xf>
    <xf numFmtId="0" fontId="134" fillId="0" borderId="0" xfId="0" applyFont="1" applyAlignment="1">
      <alignment horizontal="center" vertical="center" wrapText="1"/>
    </xf>
    <xf numFmtId="14" fontId="17" fillId="0" borderId="0" xfId="0" applyNumberFormat="1" applyFont="1" applyAlignment="1">
      <alignment horizontal="center" vertical="center" wrapText="1"/>
    </xf>
    <xf numFmtId="0" fontId="33" fillId="0" borderId="0" xfId="0" applyFont="1" applyAlignment="1">
      <alignment horizontal="right" vertical="center" wrapText="1"/>
    </xf>
    <xf numFmtId="0" fontId="85" fillId="0" borderId="15" xfId="0" applyFont="1" applyBorder="1" applyAlignment="1">
      <alignment horizontal="right" vertical="center" wrapText="1"/>
    </xf>
    <xf numFmtId="0" fontId="16" fillId="9" borderId="33" xfId="0" applyFont="1" applyFill="1" applyBorder="1" applyAlignment="1">
      <alignment horizontal="left" vertical="center" wrapText="1"/>
    </xf>
    <xf numFmtId="41" fontId="32" fillId="0" borderId="35" xfId="5" applyFont="1" applyFill="1" applyBorder="1" applyAlignment="1">
      <alignment horizontal="center" vertical="center"/>
    </xf>
    <xf numFmtId="41" fontId="32" fillId="0" borderId="35" xfId="5" applyFont="1" applyFill="1" applyBorder="1" applyAlignment="1">
      <alignment horizontal="center" vertical="center" wrapText="1"/>
    </xf>
    <xf numFmtId="41" fontId="32" fillId="0" borderId="50" xfId="5" applyFont="1" applyFill="1" applyBorder="1" applyAlignment="1">
      <alignment horizontal="center" vertical="center" wrapText="1"/>
    </xf>
    <xf numFmtId="41" fontId="32" fillId="0" borderId="42" xfId="5" applyFont="1" applyFill="1" applyBorder="1" applyAlignment="1">
      <alignment horizontal="center" vertical="center" wrapText="1"/>
    </xf>
    <xf numFmtId="41" fontId="32" fillId="0" borderId="66" xfId="5" applyFont="1" applyFill="1" applyBorder="1" applyAlignment="1">
      <alignment horizontal="center" vertical="center" wrapText="1"/>
    </xf>
    <xf numFmtId="0" fontId="32" fillId="0" borderId="35" xfId="6" applyNumberFormat="1" applyFont="1" applyFill="1" applyBorder="1" applyAlignment="1">
      <alignment horizontal="center" vertical="center" wrapText="1"/>
    </xf>
    <xf numFmtId="0" fontId="17" fillId="0" borderId="35" xfId="6" applyNumberFormat="1" applyFont="1" applyFill="1" applyBorder="1" applyAlignment="1">
      <alignment horizontal="center" vertical="center" wrapText="1"/>
    </xf>
    <xf numFmtId="0" fontId="7" fillId="0" borderId="33" xfId="0" applyFont="1" applyBorder="1" applyAlignment="1">
      <alignment horizontal="left" vertical="center"/>
    </xf>
    <xf numFmtId="177" fontId="32" fillId="0" borderId="39" xfId="0" applyNumberFormat="1" applyFont="1" applyBorder="1" applyAlignment="1">
      <alignment horizontal="center" vertical="center"/>
    </xf>
    <xf numFmtId="177" fontId="32" fillId="0" borderId="40" xfId="0" applyNumberFormat="1" applyFont="1" applyBorder="1" applyAlignment="1">
      <alignment horizontal="center" vertical="center"/>
    </xf>
    <xf numFmtId="177" fontId="32" fillId="0" borderId="41" xfId="0" applyNumberFormat="1" applyFont="1" applyBorder="1" applyAlignment="1">
      <alignment horizontal="center" vertical="center"/>
    </xf>
    <xf numFmtId="0" fontId="32" fillId="10" borderId="35" xfId="0" applyFont="1" applyFill="1" applyBorder="1" applyAlignment="1">
      <alignment horizontal="center" vertical="center"/>
    </xf>
    <xf numFmtId="0" fontId="32" fillId="10" borderId="35" xfId="0" applyFont="1" applyFill="1" applyBorder="1" applyAlignment="1">
      <alignment horizontal="center" vertical="center" wrapText="1"/>
    </xf>
    <xf numFmtId="0" fontId="34" fillId="0" borderId="0" xfId="0" applyFont="1" applyAlignment="1">
      <alignment horizontal="right" vertical="center" wrapText="1"/>
    </xf>
    <xf numFmtId="0" fontId="16" fillId="0" borderId="0" xfId="0" applyFont="1" applyAlignment="1">
      <alignment horizontal="right" vertical="center" wrapText="1"/>
    </xf>
    <xf numFmtId="0" fontId="17" fillId="10" borderId="180" xfId="0" applyFont="1" applyFill="1" applyBorder="1" applyAlignment="1">
      <alignment horizontal="center" vertical="center" wrapText="1"/>
    </xf>
    <xf numFmtId="0" fontId="17" fillId="10" borderId="181" xfId="0" applyFont="1" applyFill="1" applyBorder="1" applyAlignment="1">
      <alignment horizontal="center" vertical="center" wrapText="1"/>
    </xf>
    <xf numFmtId="0" fontId="17" fillId="10" borderId="182" xfId="0" applyFont="1" applyFill="1" applyBorder="1" applyAlignment="1">
      <alignment horizontal="center" vertical="center" wrapText="1"/>
    </xf>
    <xf numFmtId="0" fontId="35" fillId="0" borderId="179" xfId="0" applyFont="1" applyBorder="1" applyAlignment="1">
      <alignment horizontal="left" vertical="center" wrapText="1"/>
    </xf>
    <xf numFmtId="0" fontId="59" fillId="0" borderId="0" xfId="0" applyFont="1" applyAlignment="1">
      <alignment horizontal="left" vertical="center" wrapText="1"/>
    </xf>
    <xf numFmtId="0" fontId="59" fillId="0" borderId="0" xfId="0" applyFont="1" applyAlignment="1">
      <alignment horizontal="left" vertical="center"/>
    </xf>
    <xf numFmtId="0" fontId="56" fillId="0" borderId="0" xfId="0" applyFont="1" applyAlignment="1">
      <alignment horizontal="right" wrapText="1"/>
    </xf>
    <xf numFmtId="0" fontId="151" fillId="0" borderId="35" xfId="0" applyFont="1" applyBorder="1" applyAlignment="1">
      <alignment horizontal="left" vertical="center" wrapText="1"/>
    </xf>
    <xf numFmtId="0" fontId="32" fillId="0" borderId="35" xfId="0" applyFont="1" applyBorder="1" applyAlignment="1">
      <alignment horizontal="left" vertical="center" wrapText="1"/>
    </xf>
    <xf numFmtId="178" fontId="32" fillId="0" borderId="35" xfId="0" applyNumberFormat="1" applyFont="1" applyBorder="1" applyAlignment="1">
      <alignment horizontal="center" vertical="center" wrapText="1"/>
    </xf>
    <xf numFmtId="0" fontId="9" fillId="0" borderId="35" xfId="0" applyFont="1" applyBorder="1">
      <alignment vertical="center"/>
    </xf>
    <xf numFmtId="0" fontId="31" fillId="0" borderId="0" xfId="7" applyFont="1" applyFill="1" applyBorder="1" applyAlignment="1">
      <alignment horizontal="left" vertical="center"/>
    </xf>
    <xf numFmtId="49" fontId="66" fillId="16" borderId="88" xfId="0" applyNumberFormat="1" applyFont="1" applyFill="1" applyBorder="1" applyAlignment="1">
      <alignment horizontal="center" vertical="center" wrapText="1"/>
    </xf>
    <xf numFmtId="49" fontId="66" fillId="16" borderId="89" xfId="0" applyNumberFormat="1" applyFont="1" applyFill="1" applyBorder="1" applyAlignment="1">
      <alignment horizontal="center" vertical="center" wrapText="1"/>
    </xf>
    <xf numFmtId="0" fontId="17" fillId="0" borderId="7" xfId="0" applyFont="1" applyBorder="1" applyAlignment="1">
      <alignment horizontal="center" vertical="center" wrapText="1"/>
    </xf>
    <xf numFmtId="0" fontId="0" fillId="0" borderId="7" xfId="0" applyBorder="1" applyAlignment="1">
      <alignment horizontal="center" vertical="center"/>
    </xf>
    <xf numFmtId="49" fontId="66" fillId="10" borderId="88" xfId="0" applyNumberFormat="1" applyFont="1" applyFill="1" applyBorder="1" applyAlignment="1">
      <alignment horizontal="center" vertical="center" wrapText="1"/>
    </xf>
    <xf numFmtId="49" fontId="66" fillId="10" borderId="91" xfId="0" applyNumberFormat="1" applyFont="1" applyFill="1" applyBorder="1" applyAlignment="1">
      <alignment horizontal="center" vertical="center" wrapText="1"/>
    </xf>
    <xf numFmtId="49" fontId="66" fillId="16" borderId="91" xfId="0" applyNumberFormat="1" applyFont="1" applyFill="1" applyBorder="1" applyAlignment="1">
      <alignment horizontal="center" vertical="center" wrapText="1"/>
    </xf>
    <xf numFmtId="49" fontId="66" fillId="10" borderId="87" xfId="0" applyNumberFormat="1" applyFont="1" applyFill="1" applyBorder="1" applyAlignment="1">
      <alignment horizontal="center" vertical="center" wrapText="1"/>
    </xf>
    <xf numFmtId="49" fontId="66" fillId="10" borderId="90" xfId="0" applyNumberFormat="1" applyFont="1" applyFill="1" applyBorder="1" applyAlignment="1">
      <alignment horizontal="center" vertical="center" wrapText="1"/>
    </xf>
    <xf numFmtId="49" fontId="66" fillId="10" borderId="185" xfId="0" applyNumberFormat="1" applyFont="1" applyFill="1" applyBorder="1" applyAlignment="1">
      <alignment horizontal="center" vertical="center" wrapText="1"/>
    </xf>
    <xf numFmtId="49" fontId="66" fillId="10" borderId="186" xfId="0" applyNumberFormat="1" applyFont="1" applyFill="1" applyBorder="1" applyAlignment="1">
      <alignment horizontal="center" vertical="center" wrapText="1"/>
    </xf>
    <xf numFmtId="0" fontId="17" fillId="10" borderId="7" xfId="0" applyFont="1" applyFill="1" applyBorder="1" applyAlignment="1">
      <alignment horizontal="center" vertical="center" wrapText="1"/>
    </xf>
    <xf numFmtId="0" fontId="24" fillId="0" borderId="10" xfId="0" applyFont="1" applyBorder="1" applyAlignment="1">
      <alignment horizontal="center" vertical="center"/>
    </xf>
    <xf numFmtId="0" fontId="24" fillId="0" borderId="11" xfId="0" applyFont="1" applyBorder="1" applyAlignment="1">
      <alignment horizontal="center" vertical="center"/>
    </xf>
    <xf numFmtId="0" fontId="24" fillId="0" borderId="12" xfId="0" applyFont="1" applyBorder="1" applyAlignment="1">
      <alignment horizontal="center" vertical="center"/>
    </xf>
    <xf numFmtId="0" fontId="24" fillId="0" borderId="25" xfId="0" applyFont="1" applyBorder="1" applyAlignment="1">
      <alignment horizontal="center" vertical="center"/>
    </xf>
    <xf numFmtId="0" fontId="24" fillId="0" borderId="15" xfId="0" applyFont="1" applyBorder="1" applyAlignment="1">
      <alignment horizontal="center" vertical="center"/>
    </xf>
    <xf numFmtId="0" fontId="24" fillId="0" borderId="24" xfId="0" applyFont="1" applyBorder="1" applyAlignment="1">
      <alignment horizontal="center" vertical="center"/>
    </xf>
    <xf numFmtId="0" fontId="24" fillId="0" borderId="10" xfId="0" applyFont="1" applyBorder="1" applyAlignment="1">
      <alignment horizontal="left" vertical="center" wrapText="1"/>
    </xf>
    <xf numFmtId="0" fontId="24" fillId="0" borderId="11" xfId="0" applyFont="1" applyBorder="1" applyAlignment="1">
      <alignment horizontal="left" vertical="center" wrapText="1"/>
    </xf>
    <xf numFmtId="0" fontId="24" fillId="0" borderId="12" xfId="0" applyFont="1" applyBorder="1" applyAlignment="1">
      <alignment horizontal="left" vertical="center" wrapText="1"/>
    </xf>
    <xf numFmtId="0" fontId="24" fillId="0" borderId="13" xfId="0" applyFont="1" applyBorder="1" applyAlignment="1">
      <alignment horizontal="left" vertical="center" wrapText="1"/>
    </xf>
    <xf numFmtId="0" fontId="24" fillId="0" borderId="0" xfId="0" applyFont="1" applyAlignment="1">
      <alignment horizontal="left" vertical="center" wrapText="1"/>
    </xf>
    <xf numFmtId="0" fontId="24" fillId="0" borderId="14" xfId="0" applyFont="1" applyBorder="1" applyAlignment="1">
      <alignment horizontal="left" vertical="center" wrapText="1"/>
    </xf>
    <xf numFmtId="0" fontId="24" fillId="0" borderId="25" xfId="0" applyFont="1" applyBorder="1" applyAlignment="1">
      <alignment horizontal="left" vertical="center" wrapText="1"/>
    </xf>
    <xf numFmtId="0" fontId="24" fillId="0" borderId="15" xfId="0" applyFont="1" applyBorder="1" applyAlignment="1">
      <alignment horizontal="left" vertical="center" wrapText="1"/>
    </xf>
    <xf numFmtId="0" fontId="24" fillId="0" borderId="24" xfId="0" applyFont="1" applyBorder="1" applyAlignment="1">
      <alignment horizontal="left" vertical="center" wrapText="1"/>
    </xf>
    <xf numFmtId="0" fontId="24" fillId="0" borderId="10" xfId="0" applyFont="1" applyBorder="1" applyAlignment="1">
      <alignment horizontal="center" vertical="center" wrapText="1"/>
    </xf>
    <xf numFmtId="0" fontId="24" fillId="0" borderId="12" xfId="0" applyFont="1" applyBorder="1" applyAlignment="1">
      <alignment horizontal="center" vertical="center" wrapText="1"/>
    </xf>
    <xf numFmtId="0" fontId="24" fillId="0" borderId="13" xfId="0" applyFont="1" applyBorder="1" applyAlignment="1">
      <alignment horizontal="center" vertical="center" wrapText="1"/>
    </xf>
    <xf numFmtId="0" fontId="24" fillId="0" borderId="14" xfId="0" applyFont="1" applyBorder="1" applyAlignment="1">
      <alignment horizontal="center" vertical="center" wrapText="1"/>
    </xf>
    <xf numFmtId="0" fontId="24" fillId="0" borderId="25" xfId="0" applyFont="1" applyBorder="1" applyAlignment="1">
      <alignment horizontal="center" vertical="center" wrapText="1"/>
    </xf>
    <xf numFmtId="0" fontId="24" fillId="0" borderId="24" xfId="0" applyFont="1" applyBorder="1" applyAlignment="1">
      <alignment horizontal="center" vertical="center" wrapText="1"/>
    </xf>
    <xf numFmtId="0" fontId="24" fillId="0" borderId="17" xfId="0" applyFont="1" applyBorder="1" applyAlignment="1">
      <alignment horizontal="left" vertical="center" wrapText="1"/>
    </xf>
    <xf numFmtId="0" fontId="24" fillId="0" borderId="23" xfId="0" applyFont="1" applyBorder="1" applyAlignment="1">
      <alignment horizontal="center" vertical="center"/>
    </xf>
    <xf numFmtId="0" fontId="24" fillId="0" borderId="16" xfId="0" applyFont="1" applyBorder="1" applyAlignment="1">
      <alignment horizontal="center" vertical="center"/>
    </xf>
    <xf numFmtId="0" fontId="24" fillId="0" borderId="26" xfId="0" applyFont="1" applyBorder="1" applyAlignment="1">
      <alignment horizontal="center" vertical="center"/>
    </xf>
    <xf numFmtId="0" fontId="18" fillId="0" borderId="0" xfId="0" applyFont="1" applyAlignment="1">
      <alignment horizontal="center" vertical="center"/>
    </xf>
    <xf numFmtId="0" fontId="28" fillId="0" borderId="25" xfId="0" applyFont="1" applyBorder="1" applyAlignment="1">
      <alignment horizontal="left" vertical="center" wrapText="1"/>
    </xf>
    <xf numFmtId="0" fontId="28" fillId="0" borderId="15" xfId="0" applyFont="1" applyBorder="1" applyAlignment="1">
      <alignment horizontal="left" vertical="center" wrapText="1"/>
    </xf>
    <xf numFmtId="0" fontId="28" fillId="0" borderId="24" xfId="0" applyFont="1" applyBorder="1" applyAlignment="1">
      <alignment horizontal="left" vertical="center" wrapText="1"/>
    </xf>
    <xf numFmtId="0" fontId="16" fillId="13" borderId="224" xfId="0" applyFont="1" applyFill="1" applyBorder="1" applyAlignment="1">
      <alignment horizontal="justify" vertical="center" wrapText="1"/>
    </xf>
    <xf numFmtId="0" fontId="16" fillId="13" borderId="225" xfId="0" applyFont="1" applyFill="1" applyBorder="1" applyAlignment="1">
      <alignment horizontal="justify" vertical="center" wrapText="1"/>
    </xf>
    <xf numFmtId="0" fontId="16" fillId="13" borderId="226" xfId="0" applyFont="1" applyFill="1" applyBorder="1" applyAlignment="1">
      <alignment horizontal="justify" vertical="center" wrapText="1"/>
    </xf>
    <xf numFmtId="0" fontId="57" fillId="14" borderId="227" xfId="0" applyFont="1" applyFill="1" applyBorder="1" applyAlignment="1">
      <alignment horizontal="left" vertical="center" wrapText="1"/>
    </xf>
    <xf numFmtId="0" fontId="57" fillId="14" borderId="178" xfId="0" applyFont="1" applyFill="1" applyBorder="1" applyAlignment="1">
      <alignment horizontal="left" vertical="center" wrapText="1"/>
    </xf>
    <xf numFmtId="0" fontId="54" fillId="0" borderId="178" xfId="0" applyFont="1" applyBorder="1" applyAlignment="1">
      <alignment horizontal="center" vertical="center" wrapText="1"/>
    </xf>
    <xf numFmtId="0" fontId="54" fillId="0" borderId="211" xfId="0" applyFont="1" applyBorder="1" applyAlignment="1">
      <alignment horizontal="center" vertical="center" wrapText="1"/>
    </xf>
    <xf numFmtId="0" fontId="54" fillId="0" borderId="222" xfId="0" applyFont="1" applyBorder="1" applyAlignment="1">
      <alignment horizontal="justify" vertical="center" wrapText="1"/>
    </xf>
    <xf numFmtId="0" fontId="57" fillId="14" borderId="222" xfId="0" applyFont="1" applyFill="1" applyBorder="1" applyAlignment="1">
      <alignment horizontal="center" vertical="center" wrapText="1"/>
    </xf>
    <xf numFmtId="0" fontId="57" fillId="0" borderId="0" xfId="0" applyFont="1" applyAlignment="1">
      <alignment horizontal="center" vertical="center" wrapText="1"/>
    </xf>
    <xf numFmtId="0" fontId="56" fillId="21" borderId="210" xfId="0" applyFont="1" applyFill="1" applyBorder="1" applyAlignment="1">
      <alignment horizontal="center" vertical="center" wrapText="1"/>
    </xf>
    <xf numFmtId="0" fontId="56" fillId="21" borderId="221" xfId="0" applyFont="1" applyFill="1" applyBorder="1" applyAlignment="1">
      <alignment horizontal="center" vertical="center" wrapText="1"/>
    </xf>
    <xf numFmtId="0" fontId="54" fillId="0" borderId="178" xfId="0" applyFont="1" applyBorder="1" applyAlignment="1">
      <alignment horizontal="justify" vertical="center" wrapText="1"/>
    </xf>
    <xf numFmtId="0" fontId="54" fillId="0" borderId="211" xfId="0" applyFont="1" applyBorder="1" applyAlignment="1">
      <alignment horizontal="justify" vertical="center" wrapText="1"/>
    </xf>
    <xf numFmtId="0" fontId="57" fillId="14" borderId="178" xfId="0" applyFont="1" applyFill="1" applyBorder="1" applyAlignment="1">
      <alignment horizontal="justify" vertical="center" wrapText="1"/>
    </xf>
    <xf numFmtId="0" fontId="29" fillId="18" borderId="0" xfId="0" applyFont="1" applyFill="1" applyAlignment="1">
      <alignment horizontal="left" vertical="center" wrapText="1"/>
    </xf>
    <xf numFmtId="0" fontId="16" fillId="13" borderId="220" xfId="0" applyFont="1" applyFill="1" applyBorder="1" applyAlignment="1">
      <alignment horizontal="justify" vertical="center" wrapText="1"/>
    </xf>
    <xf numFmtId="0" fontId="16" fillId="13" borderId="0" xfId="0" applyFont="1" applyFill="1" applyAlignment="1">
      <alignment horizontal="justify" vertical="center" wrapText="1"/>
    </xf>
    <xf numFmtId="0" fontId="16" fillId="13" borderId="215" xfId="0" applyFont="1" applyFill="1" applyBorder="1" applyAlignment="1">
      <alignment horizontal="justify" vertical="center" wrapText="1"/>
    </xf>
    <xf numFmtId="0" fontId="170" fillId="0" borderId="178" xfId="0" applyFont="1" applyBorder="1" applyAlignment="1">
      <alignment horizontal="center" vertical="center" wrapText="1"/>
    </xf>
    <xf numFmtId="0" fontId="57" fillId="14" borderId="178" xfId="0" applyFont="1" applyFill="1" applyBorder="1" applyAlignment="1">
      <alignment horizontal="center" vertical="center" wrapText="1"/>
    </xf>
    <xf numFmtId="0" fontId="170" fillId="0" borderId="211" xfId="0" applyFont="1" applyBorder="1" applyAlignment="1">
      <alignment horizontal="center" vertical="center" wrapText="1"/>
    </xf>
    <xf numFmtId="0" fontId="57" fillId="0" borderId="211" xfId="0" applyFont="1" applyBorder="1" applyAlignment="1">
      <alignment horizontal="center" vertical="center" wrapText="1"/>
    </xf>
    <xf numFmtId="0" fontId="54" fillId="0" borderId="178" xfId="0" applyFont="1" applyBorder="1" applyAlignment="1">
      <alignment horizontal="left" vertical="center" wrapText="1"/>
    </xf>
    <xf numFmtId="0" fontId="54" fillId="0" borderId="211" xfId="0" applyFont="1" applyBorder="1" applyAlignment="1">
      <alignment horizontal="left" vertical="center" wrapText="1"/>
    </xf>
    <xf numFmtId="0" fontId="77" fillId="0" borderId="0" xfId="0" applyFont="1" applyAlignment="1">
      <alignment horizontal="center" vertical="center"/>
    </xf>
    <xf numFmtId="0" fontId="53" fillId="0" borderId="0" xfId="0" applyFont="1" applyAlignment="1">
      <alignment horizontal="center" vertical="center"/>
    </xf>
    <xf numFmtId="0" fontId="54" fillId="0" borderId="17" xfId="0" applyFont="1" applyBorder="1" applyAlignment="1">
      <alignment horizontal="center" vertical="center" wrapText="1"/>
    </xf>
    <xf numFmtId="0" fontId="33" fillId="0" borderId="17" xfId="0" applyFont="1" applyBorder="1" applyAlignment="1">
      <alignment horizontal="center" vertical="center" wrapText="1"/>
    </xf>
    <xf numFmtId="0" fontId="55" fillId="0" borderId="0" xfId="0" applyFont="1" applyAlignment="1">
      <alignment horizontal="left" vertical="center" wrapText="1"/>
    </xf>
    <xf numFmtId="0" fontId="57" fillId="0" borderId="178" xfId="0" applyFont="1" applyBorder="1" applyAlignment="1">
      <alignment horizontal="left" vertical="center" wrapText="1"/>
    </xf>
    <xf numFmtId="0" fontId="57" fillId="0" borderId="211" xfId="0" applyFont="1" applyBorder="1" applyAlignment="1">
      <alignment horizontal="left" vertical="center" wrapText="1"/>
    </xf>
    <xf numFmtId="0" fontId="16" fillId="13" borderId="214" xfId="0" applyFont="1" applyFill="1" applyBorder="1" applyAlignment="1">
      <alignment horizontal="justify" vertical="center" wrapText="1"/>
    </xf>
    <xf numFmtId="0" fontId="38" fillId="0" borderId="178" xfId="0" applyFont="1" applyBorder="1" applyAlignment="1">
      <alignment horizontal="center" vertical="center" wrapText="1"/>
    </xf>
    <xf numFmtId="0" fontId="38" fillId="0" borderId="211" xfId="0" applyFont="1" applyBorder="1" applyAlignment="1">
      <alignment horizontal="center" vertical="center" wrapText="1"/>
    </xf>
    <xf numFmtId="0" fontId="57" fillId="0" borderId="201" xfId="0" applyFont="1" applyBorder="1" applyAlignment="1">
      <alignment horizontal="center" vertical="center" wrapText="1"/>
    </xf>
    <xf numFmtId="0" fontId="57" fillId="0" borderId="202" xfId="0" applyFont="1" applyBorder="1" applyAlignment="1">
      <alignment horizontal="center" vertical="center" wrapText="1"/>
    </xf>
    <xf numFmtId="0" fontId="57" fillId="0" borderId="212" xfId="0" applyFont="1" applyBorder="1" applyAlignment="1">
      <alignment horizontal="center" vertical="center" wrapText="1"/>
    </xf>
    <xf numFmtId="0" fontId="57" fillId="0" borderId="204" xfId="0" applyFont="1" applyBorder="1" applyAlignment="1">
      <alignment horizontal="center" vertical="center" wrapText="1"/>
    </xf>
    <xf numFmtId="0" fontId="57" fillId="0" borderId="179" xfId="0" applyFont="1" applyBorder="1" applyAlignment="1">
      <alignment horizontal="center" vertical="center" wrapText="1"/>
    </xf>
    <xf numFmtId="0" fontId="57" fillId="0" borderId="213" xfId="0" applyFont="1" applyBorder="1" applyAlignment="1">
      <alignment horizontal="center" vertical="center" wrapText="1"/>
    </xf>
    <xf numFmtId="0" fontId="16" fillId="22" borderId="207" xfId="0" applyFont="1" applyFill="1" applyBorder="1" applyAlignment="1">
      <alignment horizontal="justify" vertical="center" wrapText="1"/>
    </xf>
    <xf numFmtId="0" fontId="16" fillId="22" borderId="208" xfId="0" applyFont="1" applyFill="1" applyBorder="1" applyAlignment="1">
      <alignment horizontal="justify" vertical="center" wrapText="1"/>
    </xf>
    <xf numFmtId="0" fontId="16" fillId="22" borderId="209" xfId="0" applyFont="1" applyFill="1" applyBorder="1" applyAlignment="1">
      <alignment horizontal="justify" vertical="center" wrapText="1"/>
    </xf>
    <xf numFmtId="0" fontId="57" fillId="0" borderId="178" xfId="0" applyFont="1" applyBorder="1" applyAlignment="1">
      <alignment horizontal="justify" vertical="center" wrapText="1"/>
    </xf>
    <xf numFmtId="0" fontId="57" fillId="0" borderId="211" xfId="0" applyFont="1" applyBorder="1" applyAlignment="1">
      <alignment horizontal="justify" vertical="center" wrapText="1"/>
    </xf>
    <xf numFmtId="0" fontId="54" fillId="0" borderId="178" xfId="0" applyFont="1" applyBorder="1" applyAlignment="1">
      <alignment vertical="center" wrapText="1"/>
    </xf>
    <xf numFmtId="0" fontId="39" fillId="0" borderId="202" xfId="0" applyFont="1" applyBorder="1" applyAlignment="1">
      <alignment horizontal="left" vertical="center" wrapText="1"/>
    </xf>
    <xf numFmtId="0" fontId="175" fillId="0" borderId="202" xfId="0" applyFont="1" applyBorder="1" applyAlignment="1">
      <alignment horizontal="left" vertical="center" wrapText="1"/>
    </xf>
    <xf numFmtId="0" fontId="178" fillId="0" borderId="17" xfId="0" applyFont="1" applyBorder="1" applyAlignment="1">
      <alignment horizontal="left" vertical="center" wrapText="1"/>
    </xf>
    <xf numFmtId="0" fontId="178" fillId="0" borderId="17" xfId="0" applyFont="1" applyBorder="1" applyAlignment="1">
      <alignment horizontal="center" vertical="center" wrapText="1"/>
    </xf>
    <xf numFmtId="0" fontId="16" fillId="13" borderId="216" xfId="0" applyFont="1" applyFill="1" applyBorder="1" applyAlignment="1">
      <alignment horizontal="justify" vertical="center" wrapText="1"/>
    </xf>
    <xf numFmtId="0" fontId="57" fillId="0" borderId="178" xfId="0" applyFont="1" applyBorder="1" applyAlignment="1">
      <alignment horizontal="center" vertical="center" wrapText="1"/>
    </xf>
    <xf numFmtId="0" fontId="54" fillId="0" borderId="180" xfId="0" applyFont="1" applyBorder="1" applyAlignment="1">
      <alignment horizontal="center" vertical="center" wrapText="1"/>
    </xf>
    <xf numFmtId="0" fontId="54" fillId="0" borderId="181" xfId="0" applyFont="1" applyBorder="1" applyAlignment="1">
      <alignment horizontal="center" vertical="center" wrapText="1"/>
    </xf>
    <xf numFmtId="0" fontId="54" fillId="0" borderId="218" xfId="0" applyFont="1" applyBorder="1" applyAlignment="1">
      <alignment horizontal="center" vertical="center" wrapText="1"/>
    </xf>
    <xf numFmtId="0" fontId="57" fillId="14" borderId="183" xfId="0" applyFont="1" applyFill="1" applyBorder="1" applyAlignment="1">
      <alignment horizontal="left" vertical="center" wrapText="1"/>
    </xf>
    <xf numFmtId="0" fontId="57" fillId="14" borderId="184" xfId="0" applyFont="1" applyFill="1" applyBorder="1" applyAlignment="1">
      <alignment horizontal="left" vertical="center" wrapText="1"/>
    </xf>
    <xf numFmtId="0" fontId="57" fillId="14" borderId="206" xfId="0" applyFont="1" applyFill="1" applyBorder="1" applyAlignment="1">
      <alignment horizontal="left" vertical="center" wrapText="1"/>
    </xf>
    <xf numFmtId="0" fontId="57" fillId="14" borderId="201" xfId="0" applyFont="1" applyFill="1" applyBorder="1" applyAlignment="1">
      <alignment horizontal="left" vertical="center" wrapText="1"/>
    </xf>
    <xf numFmtId="0" fontId="57" fillId="14" borderId="202" xfId="0" applyFont="1" applyFill="1" applyBorder="1" applyAlignment="1">
      <alignment horizontal="left" vertical="center" wrapText="1"/>
    </xf>
    <xf numFmtId="0" fontId="57" fillId="14" borderId="203" xfId="0" applyFont="1" applyFill="1" applyBorder="1" applyAlignment="1">
      <alignment horizontal="left" vertical="center" wrapText="1"/>
    </xf>
    <xf numFmtId="0" fontId="57" fillId="14" borderId="204" xfId="0" applyFont="1" applyFill="1" applyBorder="1" applyAlignment="1">
      <alignment horizontal="left" vertical="center" wrapText="1"/>
    </xf>
    <xf numFmtId="0" fontId="57" fillId="14" borderId="179" xfId="0" applyFont="1" applyFill="1" applyBorder="1" applyAlignment="1">
      <alignment horizontal="left" vertical="center" wrapText="1"/>
    </xf>
    <xf numFmtId="0" fontId="57" fillId="14" borderId="205" xfId="0" applyFont="1" applyFill="1" applyBorder="1" applyAlignment="1">
      <alignment horizontal="left" vertical="center" wrapText="1"/>
    </xf>
    <xf numFmtId="0" fontId="56" fillId="21" borderId="217" xfId="0" applyFont="1" applyFill="1" applyBorder="1" applyAlignment="1">
      <alignment horizontal="center" vertical="center" wrapText="1"/>
    </xf>
    <xf numFmtId="0" fontId="56" fillId="21" borderId="214" xfId="0" applyFont="1" applyFill="1" applyBorder="1" applyAlignment="1">
      <alignment horizontal="center" vertical="center" wrapText="1"/>
    </xf>
    <xf numFmtId="0" fontId="56" fillId="21" borderId="219" xfId="0" applyFont="1" applyFill="1" applyBorder="1" applyAlignment="1">
      <alignment horizontal="center" vertical="center" wrapText="1"/>
    </xf>
    <xf numFmtId="176" fontId="59" fillId="0" borderId="0" xfId="0" applyNumberFormat="1" applyFont="1" applyAlignment="1">
      <alignment horizontal="right" vertical="center"/>
    </xf>
    <xf numFmtId="0" fontId="57" fillId="0" borderId="228" xfId="0" applyFont="1" applyBorder="1" applyAlignment="1">
      <alignment horizontal="center" vertical="center" wrapText="1"/>
    </xf>
    <xf numFmtId="0" fontId="57" fillId="14" borderId="228" xfId="0" applyFont="1" applyFill="1" applyBorder="1" applyAlignment="1">
      <alignment horizontal="center" vertical="center" wrapText="1"/>
    </xf>
    <xf numFmtId="0" fontId="176" fillId="0" borderId="178" xfId="0" applyFont="1" applyBorder="1" applyAlignment="1">
      <alignment horizontal="center" vertical="center"/>
    </xf>
    <xf numFmtId="0" fontId="176" fillId="0" borderId="228" xfId="0" applyFont="1" applyBorder="1" applyAlignment="1">
      <alignment horizontal="center" vertical="center"/>
    </xf>
    <xf numFmtId="0" fontId="38" fillId="0" borderId="43" xfId="0" applyFont="1" applyBorder="1" applyAlignment="1">
      <alignment horizontal="center" vertical="center" wrapText="1"/>
    </xf>
    <xf numFmtId="0" fontId="38" fillId="0" borderId="43" xfId="0" applyFont="1" applyBorder="1" applyAlignment="1">
      <alignment horizontal="left" vertical="center" wrapText="1"/>
    </xf>
    <xf numFmtId="0" fontId="17" fillId="0" borderId="15" xfId="0" applyFont="1" applyBorder="1" applyAlignment="1">
      <alignment horizontal="center" vertical="center" wrapText="1"/>
    </xf>
    <xf numFmtId="0" fontId="70" fillId="0" borderId="43" xfId="0" applyFont="1" applyBorder="1" applyAlignment="1">
      <alignment horizontal="center" vertical="center" wrapText="1"/>
    </xf>
    <xf numFmtId="0" fontId="70" fillId="0" borderId="43" xfId="0" applyFont="1" applyBorder="1" applyAlignment="1">
      <alignment horizontal="left" vertical="center" wrapText="1"/>
    </xf>
    <xf numFmtId="0" fontId="17" fillId="0" borderId="67" xfId="0" applyFont="1" applyBorder="1" applyAlignment="1">
      <alignment horizontal="center" vertical="center" wrapText="1"/>
    </xf>
    <xf numFmtId="0" fontId="17" fillId="0" borderId="68" xfId="0" applyFont="1" applyBorder="1" applyAlignment="1">
      <alignment horizontal="center" vertical="center" wrapText="1"/>
    </xf>
    <xf numFmtId="0" fontId="17" fillId="10" borderId="67" xfId="0" applyFont="1" applyFill="1" applyBorder="1" applyAlignment="1">
      <alignment horizontal="center" vertical="center" wrapText="1"/>
    </xf>
    <xf numFmtId="0" fontId="17" fillId="10" borderId="68" xfId="0" applyFont="1" applyFill="1" applyBorder="1" applyAlignment="1">
      <alignment horizontal="center" vertical="center" wrapText="1"/>
    </xf>
    <xf numFmtId="0" fontId="79" fillId="0" borderId="0" xfId="10" applyFont="1" applyAlignment="1">
      <alignment horizontal="center" vertical="center"/>
    </xf>
    <xf numFmtId="0" fontId="7" fillId="0" borderId="0" xfId="10" applyFont="1" applyAlignment="1">
      <alignment horizontal="left" vertical="center"/>
    </xf>
    <xf numFmtId="0" fontId="39" fillId="0" borderId="0" xfId="10" applyFont="1" applyAlignment="1">
      <alignment horizontal="right" vertical="center"/>
    </xf>
    <xf numFmtId="0" fontId="9" fillId="0" borderId="78" xfId="10" applyBorder="1" applyAlignment="1">
      <alignment horizontal="left" vertical="center" wrapText="1"/>
    </xf>
    <xf numFmtId="0" fontId="9" fillId="0" borderId="79" xfId="10" applyBorder="1" applyAlignment="1">
      <alignment horizontal="left" vertical="center" wrapText="1"/>
    </xf>
    <xf numFmtId="0" fontId="9" fillId="0" borderId="80" xfId="10" applyBorder="1" applyAlignment="1">
      <alignment horizontal="left" vertical="center" wrapText="1"/>
    </xf>
    <xf numFmtId="0" fontId="9" fillId="0" borderId="81" xfId="10" applyBorder="1" applyAlignment="1">
      <alignment horizontal="left" vertical="center" wrapText="1"/>
    </xf>
    <xf numFmtId="0" fontId="9" fillId="0" borderId="0" xfId="10" applyAlignment="1">
      <alignment horizontal="left" vertical="center" wrapText="1"/>
    </xf>
    <xf numFmtId="0" fontId="9" fillId="0" borderId="82" xfId="10" applyBorder="1" applyAlignment="1">
      <alignment horizontal="left" vertical="center" wrapText="1"/>
    </xf>
    <xf numFmtId="0" fontId="9" fillId="0" borderId="83" xfId="10" applyBorder="1" applyAlignment="1">
      <alignment horizontal="left" vertical="center" wrapText="1"/>
    </xf>
    <xf numFmtId="0" fontId="9" fillId="0" borderId="84" xfId="10" applyBorder="1" applyAlignment="1">
      <alignment horizontal="left" vertical="center" wrapText="1"/>
    </xf>
    <xf numFmtId="0" fontId="9" fillId="0" borderId="85" xfId="10" applyBorder="1" applyAlignment="1">
      <alignment horizontal="left" vertical="center" wrapText="1"/>
    </xf>
    <xf numFmtId="49" fontId="122" fillId="0" borderId="151" xfId="0" applyNumberFormat="1" applyFont="1" applyBorder="1" applyAlignment="1" applyProtection="1">
      <alignment horizontal="center" vertical="center" wrapText="1"/>
      <protection locked="0"/>
    </xf>
    <xf numFmtId="49" fontId="122" fillId="0" borderId="150" xfId="0" applyNumberFormat="1" applyFont="1" applyBorder="1" applyAlignment="1" applyProtection="1">
      <alignment horizontal="center" vertical="center" wrapText="1"/>
      <protection locked="0"/>
    </xf>
    <xf numFmtId="190" fontId="123" fillId="0" borderId="151" xfId="14" applyNumberFormat="1" applyFont="1" applyFill="1" applyBorder="1" applyAlignment="1" applyProtection="1">
      <alignment horizontal="center" vertical="center" wrapText="1"/>
      <protection locked="0"/>
    </xf>
    <xf numFmtId="190" fontId="123" fillId="0" borderId="232" xfId="14" applyNumberFormat="1" applyFont="1" applyFill="1" applyBorder="1" applyAlignment="1" applyProtection="1">
      <alignment horizontal="center" vertical="center" wrapText="1"/>
      <protection locked="0"/>
    </xf>
    <xf numFmtId="190" fontId="123" fillId="0" borderId="150" xfId="14" applyNumberFormat="1" applyFont="1" applyFill="1" applyBorder="1" applyAlignment="1" applyProtection="1">
      <alignment horizontal="center" vertical="center" wrapText="1"/>
      <protection locked="0"/>
    </xf>
    <xf numFmtId="190" fontId="123" fillId="0" borderId="157" xfId="14" applyNumberFormat="1" applyFont="1" applyFill="1" applyBorder="1" applyAlignment="1" applyProtection="1">
      <alignment horizontal="center" vertical="center" wrapText="1"/>
      <protection hidden="1"/>
    </xf>
    <xf numFmtId="190" fontId="123" fillId="0" borderId="158" xfId="14" applyNumberFormat="1" applyFont="1" applyFill="1" applyBorder="1" applyAlignment="1" applyProtection="1">
      <alignment horizontal="center" vertical="center" wrapText="1"/>
      <protection hidden="1"/>
    </xf>
    <xf numFmtId="42" fontId="119" fillId="0" borderId="173" xfId="14" applyFont="1" applyFill="1" applyBorder="1" applyAlignment="1">
      <alignment horizontal="center" vertical="center" wrapText="1"/>
    </xf>
    <xf numFmtId="42" fontId="119" fillId="0" borderId="174" xfId="14" applyFont="1" applyFill="1" applyBorder="1" applyAlignment="1">
      <alignment horizontal="center" vertical="center" wrapText="1"/>
    </xf>
    <xf numFmtId="42" fontId="119" fillId="0" borderId="75" xfId="14" applyFont="1" applyFill="1" applyBorder="1" applyAlignment="1">
      <alignment horizontal="center" vertical="center" wrapText="1"/>
    </xf>
    <xf numFmtId="42" fontId="119" fillId="0" borderId="77" xfId="14" applyFont="1" applyFill="1" applyBorder="1" applyAlignment="1">
      <alignment horizontal="center" vertical="center" wrapText="1"/>
    </xf>
    <xf numFmtId="49" fontId="121" fillId="0" borderId="70" xfId="0" applyNumberFormat="1" applyFont="1" applyBorder="1" applyAlignment="1">
      <alignment horizontal="center" vertical="center" wrapText="1"/>
    </xf>
    <xf numFmtId="49" fontId="121" fillId="0" borderId="76" xfId="0" applyNumberFormat="1" applyFont="1" applyBorder="1" applyAlignment="1">
      <alignment horizontal="center" vertical="center" wrapText="1"/>
    </xf>
    <xf numFmtId="42" fontId="126" fillId="0" borderId="160" xfId="0" applyNumberFormat="1" applyFont="1" applyBorder="1" applyAlignment="1" applyProtection="1">
      <alignment horizontal="center" vertical="center" wrapText="1"/>
      <protection hidden="1"/>
    </xf>
    <xf numFmtId="0" fontId="126" fillId="0" borderId="161" xfId="0" applyFont="1" applyBorder="1" applyAlignment="1" applyProtection="1">
      <alignment horizontal="center" vertical="center" wrapText="1"/>
      <protection hidden="1"/>
    </xf>
    <xf numFmtId="42" fontId="126" fillId="0" borderId="161" xfId="0" applyNumberFormat="1" applyFont="1" applyBorder="1" applyAlignment="1" applyProtection="1">
      <alignment horizontal="center" vertical="center" wrapText="1"/>
      <protection hidden="1"/>
    </xf>
    <xf numFmtId="42" fontId="126" fillId="0" borderId="164" xfId="0" applyNumberFormat="1" applyFont="1" applyBorder="1" applyAlignment="1" applyProtection="1">
      <alignment horizontal="center" vertical="center" wrapText="1"/>
      <protection hidden="1"/>
    </xf>
    <xf numFmtId="42" fontId="126" fillId="0" borderId="165" xfId="0" applyNumberFormat="1" applyFont="1" applyBorder="1" applyAlignment="1" applyProtection="1">
      <alignment horizontal="center" vertical="center" wrapText="1"/>
      <protection hidden="1"/>
    </xf>
    <xf numFmtId="0" fontId="127" fillId="0" borderId="70" xfId="0" applyFont="1" applyBorder="1" applyAlignment="1">
      <alignment horizontal="center" vertical="center"/>
    </xf>
    <xf numFmtId="0" fontId="127" fillId="0" borderId="0" xfId="0" applyFont="1" applyAlignment="1">
      <alignment horizontal="center" vertical="center"/>
    </xf>
    <xf numFmtId="42" fontId="118" fillId="0" borderId="72" xfId="14" applyFont="1" applyFill="1" applyBorder="1" applyAlignment="1">
      <alignment horizontal="center" vertical="center" wrapText="1"/>
    </xf>
    <xf numFmtId="42" fontId="118" fillId="0" borderId="73" xfId="14" applyFont="1" applyFill="1" applyBorder="1" applyAlignment="1">
      <alignment horizontal="center" vertical="center" wrapText="1"/>
    </xf>
    <xf numFmtId="42" fontId="119" fillId="16" borderId="167" xfId="14" applyFont="1" applyFill="1" applyBorder="1" applyAlignment="1">
      <alignment horizontal="center" vertical="center" wrapText="1"/>
    </xf>
    <xf numFmtId="42" fontId="119" fillId="16" borderId="169" xfId="14" applyFont="1" applyFill="1" applyBorder="1" applyAlignment="1">
      <alignment horizontal="center" vertical="center" wrapText="1"/>
    </xf>
    <xf numFmtId="42" fontId="119" fillId="0" borderId="69" xfId="14" applyFont="1" applyFill="1" applyBorder="1" applyAlignment="1">
      <alignment horizontal="center" vertical="center" wrapText="1"/>
    </xf>
    <xf numFmtId="42" fontId="119" fillId="0" borderId="71" xfId="14" applyFont="1" applyFill="1" applyBorder="1" applyAlignment="1">
      <alignment horizontal="center" vertical="center" wrapText="1"/>
    </xf>
    <xf numFmtId="42" fontId="119" fillId="0" borderId="170" xfId="14" applyFont="1" applyFill="1" applyBorder="1" applyAlignment="1">
      <alignment horizontal="center" vertical="center" wrapText="1"/>
    </xf>
    <xf numFmtId="42" fontId="119" fillId="0" borderId="171" xfId="14" applyFont="1" applyFill="1" applyBorder="1" applyAlignment="1">
      <alignment horizontal="center" vertical="center" wrapText="1"/>
    </xf>
    <xf numFmtId="42" fontId="119" fillId="16" borderId="69" xfId="14" applyFont="1" applyFill="1" applyBorder="1" applyAlignment="1">
      <alignment horizontal="center" vertical="center" wrapText="1"/>
    </xf>
    <xf numFmtId="42" fontId="119" fillId="16" borderId="71" xfId="14" applyFont="1" applyFill="1" applyBorder="1" applyAlignment="1">
      <alignment horizontal="center" vertical="center" wrapText="1"/>
    </xf>
    <xf numFmtId="42" fontId="119" fillId="16" borderId="72" xfId="14" applyFont="1" applyFill="1" applyBorder="1" applyAlignment="1">
      <alignment horizontal="center" vertical="center" wrapText="1"/>
    </xf>
    <xf numFmtId="42" fontId="119" fillId="16" borderId="73" xfId="14" applyFont="1" applyFill="1" applyBorder="1" applyAlignment="1">
      <alignment horizontal="center" vertical="center" wrapText="1"/>
    </xf>
    <xf numFmtId="42" fontId="119" fillId="16" borderId="75" xfId="14" applyFont="1" applyFill="1" applyBorder="1" applyAlignment="1">
      <alignment horizontal="center" vertical="center" wrapText="1"/>
    </xf>
    <xf numFmtId="42" fontId="119" fillId="16" borderId="77" xfId="14" applyFont="1" applyFill="1" applyBorder="1" applyAlignment="1">
      <alignment horizontal="center" vertical="center" wrapText="1"/>
    </xf>
    <xf numFmtId="42" fontId="119" fillId="16" borderId="172" xfId="14" applyFont="1" applyFill="1" applyBorder="1" applyAlignment="1">
      <alignment horizontal="center" vertical="center" wrapText="1"/>
    </xf>
    <xf numFmtId="42" fontId="119" fillId="16" borderId="176" xfId="14" applyFont="1" applyFill="1" applyBorder="1" applyAlignment="1">
      <alignment horizontal="center" vertical="center" wrapText="1"/>
    </xf>
    <xf numFmtId="49" fontId="122" fillId="0" borderId="23" xfId="0" applyNumberFormat="1" applyFont="1" applyBorder="1" applyAlignment="1" applyProtection="1">
      <alignment horizontal="center" vertical="center" wrapText="1"/>
      <protection locked="0"/>
    </xf>
    <xf numFmtId="49" fontId="122" fillId="0" borderId="26" xfId="0" applyNumberFormat="1" applyFont="1" applyBorder="1" applyAlignment="1" applyProtection="1">
      <alignment horizontal="center" vertical="center" wrapText="1"/>
      <protection locked="0"/>
    </xf>
    <xf numFmtId="190" fontId="123" fillId="0" borderId="23" xfId="14" applyNumberFormat="1" applyFont="1" applyFill="1" applyBorder="1" applyAlignment="1" applyProtection="1">
      <alignment horizontal="center" vertical="center" wrapText="1"/>
      <protection locked="0"/>
    </xf>
    <xf numFmtId="190" fontId="123" fillId="0" borderId="16" xfId="14" applyNumberFormat="1" applyFont="1" applyFill="1" applyBorder="1" applyAlignment="1" applyProtection="1">
      <alignment horizontal="center" vertical="center" wrapText="1"/>
      <protection locked="0"/>
    </xf>
    <xf numFmtId="190" fontId="123" fillId="0" borderId="26" xfId="14" applyNumberFormat="1" applyFont="1" applyFill="1" applyBorder="1" applyAlignment="1" applyProtection="1">
      <alignment horizontal="center" vertical="center" wrapText="1"/>
      <protection locked="0"/>
    </xf>
    <xf numFmtId="190" fontId="123" fillId="0" borderId="25" xfId="14" applyNumberFormat="1" applyFont="1" applyFill="1" applyBorder="1" applyAlignment="1" applyProtection="1">
      <alignment horizontal="center" vertical="center" wrapText="1"/>
      <protection hidden="1"/>
    </xf>
    <xf numFmtId="190" fontId="123" fillId="0" borderId="24" xfId="14" applyNumberFormat="1" applyFont="1" applyFill="1" applyBorder="1" applyAlignment="1" applyProtection="1">
      <alignment horizontal="center" vertical="center" wrapText="1"/>
      <protection hidden="1"/>
    </xf>
    <xf numFmtId="49" fontId="120" fillId="16" borderId="153" xfId="0" applyNumberFormat="1" applyFont="1" applyFill="1" applyBorder="1" applyAlignment="1" applyProtection="1">
      <alignment horizontal="center" vertical="center" wrapText="1"/>
      <protection hidden="1"/>
    </xf>
    <xf numFmtId="49" fontId="120" fillId="16" borderId="154" xfId="0" applyNumberFormat="1" applyFont="1" applyFill="1" applyBorder="1" applyAlignment="1" applyProtection="1">
      <alignment horizontal="center" vertical="center" wrapText="1"/>
      <protection hidden="1"/>
    </xf>
    <xf numFmtId="42" fontId="120" fillId="16" borderId="136" xfId="14" applyFont="1" applyFill="1" applyBorder="1" applyAlignment="1" applyProtection="1">
      <alignment horizontal="center" vertical="center" wrapText="1"/>
      <protection hidden="1"/>
    </xf>
    <xf numFmtId="42" fontId="120" fillId="16" borderId="153" xfId="14" applyFont="1" applyFill="1" applyBorder="1" applyAlignment="1" applyProtection="1">
      <alignment horizontal="center" vertical="center" wrapText="1"/>
      <protection hidden="1"/>
    </xf>
    <xf numFmtId="42" fontId="120" fillId="16" borderId="154" xfId="14" applyFont="1" applyFill="1" applyBorder="1" applyAlignment="1" applyProtection="1">
      <alignment horizontal="center" vertical="center" wrapText="1"/>
      <protection hidden="1"/>
    </xf>
    <xf numFmtId="0" fontId="0" fillId="0" borderId="0" xfId="0" applyAlignment="1">
      <alignment horizontal="center" vertical="center"/>
    </xf>
    <xf numFmtId="0" fontId="0" fillId="0" borderId="76" xfId="0" applyBorder="1" applyAlignment="1">
      <alignment horizontal="center" vertical="center"/>
    </xf>
    <xf numFmtId="42" fontId="115" fillId="0" borderId="70" xfId="14" applyFont="1" applyBorder="1" applyAlignment="1">
      <alignment horizontal="center" vertical="center"/>
    </xf>
    <xf numFmtId="42" fontId="115" fillId="0" borderId="0" xfId="14" applyFont="1" applyAlignment="1">
      <alignment horizontal="center" vertical="center"/>
    </xf>
    <xf numFmtId="42" fontId="115" fillId="0" borderId="76" xfId="14" applyFont="1" applyBorder="1" applyAlignment="1">
      <alignment horizontal="center" vertical="center"/>
    </xf>
    <xf numFmtId="42" fontId="116" fillId="0" borderId="70" xfId="14" applyFont="1" applyFill="1" applyBorder="1" applyAlignment="1" applyProtection="1">
      <alignment horizontal="center" vertical="center" wrapText="1"/>
      <protection locked="0"/>
    </xf>
    <xf numFmtId="42" fontId="116" fillId="0" borderId="0" xfId="14" applyFont="1" applyFill="1" applyBorder="1" applyAlignment="1" applyProtection="1">
      <alignment horizontal="center" vertical="center" wrapText="1"/>
      <protection locked="0"/>
    </xf>
    <xf numFmtId="42" fontId="116" fillId="0" borderId="76" xfId="14" applyFont="1" applyFill="1" applyBorder="1" applyAlignment="1" applyProtection="1">
      <alignment horizontal="center" vertical="center" wrapText="1"/>
      <protection locked="0"/>
    </xf>
    <xf numFmtId="0" fontId="113" fillId="0" borderId="147" xfId="0" applyFont="1" applyBorder="1" applyAlignment="1" applyProtection="1">
      <alignment horizontal="center" vertical="center"/>
      <protection hidden="1"/>
    </xf>
    <xf numFmtId="0" fontId="113" fillId="0" borderId="148" xfId="0" applyFont="1" applyBorder="1" applyAlignment="1" applyProtection="1">
      <alignment horizontal="center" vertical="center"/>
      <protection hidden="1"/>
    </xf>
    <xf numFmtId="0" fontId="113" fillId="16" borderId="149" xfId="0" applyFont="1" applyFill="1" applyBorder="1" applyAlignment="1">
      <alignment horizontal="left" vertical="center"/>
    </xf>
    <xf numFmtId="0" fontId="113" fillId="16" borderId="150" xfId="0" applyFont="1" applyFill="1" applyBorder="1" applyAlignment="1">
      <alignment horizontal="left" vertical="center"/>
    </xf>
    <xf numFmtId="0" fontId="114" fillId="0" borderId="151" xfId="0" applyFont="1" applyBorder="1" applyAlignment="1" applyProtection="1">
      <alignment horizontal="center" vertical="center"/>
      <protection locked="0"/>
    </xf>
    <xf numFmtId="0" fontId="114" fillId="0" borderId="150" xfId="0" applyFont="1" applyBorder="1" applyAlignment="1" applyProtection="1">
      <alignment horizontal="center" vertical="center"/>
      <protection locked="0"/>
    </xf>
    <xf numFmtId="0" fontId="114" fillId="0" borderId="152" xfId="0" applyFont="1" applyBorder="1" applyAlignment="1" applyProtection="1">
      <alignment horizontal="center" vertical="center"/>
      <protection locked="0"/>
    </xf>
    <xf numFmtId="0" fontId="111" fillId="0" borderId="0" xfId="0" applyFont="1" applyAlignment="1">
      <alignment horizontal="center" vertical="center"/>
    </xf>
    <xf numFmtId="0" fontId="112" fillId="16" borderId="135" xfId="0" applyFont="1" applyFill="1" applyBorder="1" applyAlignment="1" applyProtection="1">
      <alignment horizontal="center" vertical="center"/>
      <protection hidden="1"/>
    </xf>
    <xf numFmtId="0" fontId="112" fillId="16" borderId="136" xfId="0" applyFont="1" applyFill="1" applyBorder="1" applyAlignment="1" applyProtection="1">
      <alignment horizontal="center" vertical="center"/>
      <protection hidden="1"/>
    </xf>
    <xf numFmtId="0" fontId="112" fillId="16" borderId="137" xfId="0" applyFont="1" applyFill="1" applyBorder="1" applyAlignment="1" applyProtection="1">
      <alignment horizontal="center" vertical="center"/>
      <protection hidden="1"/>
    </xf>
    <xf numFmtId="0" fontId="0" fillId="0" borderId="138" xfId="0" applyBorder="1" applyAlignment="1">
      <alignment horizontal="center" vertical="center"/>
    </xf>
    <xf numFmtId="0" fontId="112" fillId="16" borderId="139" xfId="0" applyFont="1" applyFill="1" applyBorder="1" applyAlignment="1">
      <alignment horizontal="center" vertical="center"/>
    </xf>
    <xf numFmtId="0" fontId="112" fillId="16" borderId="140" xfId="0" applyFont="1" applyFill="1" applyBorder="1" applyAlignment="1">
      <alignment horizontal="center" vertical="center"/>
    </xf>
    <xf numFmtId="0" fontId="112" fillId="16" borderId="141" xfId="0" applyFont="1" applyFill="1" applyBorder="1" applyAlignment="1">
      <alignment horizontal="center" vertical="center"/>
    </xf>
    <xf numFmtId="0" fontId="113" fillId="0" borderId="17" xfId="0" applyFont="1" applyBorder="1" applyAlignment="1" applyProtection="1">
      <alignment horizontal="center" vertical="center"/>
      <protection hidden="1"/>
    </xf>
    <xf numFmtId="0" fontId="113" fillId="0" borderId="143" xfId="0" applyFont="1" applyBorder="1" applyAlignment="1" applyProtection="1">
      <alignment horizontal="center" vertical="center"/>
      <protection hidden="1"/>
    </xf>
    <xf numFmtId="0" fontId="113" fillId="16" borderId="144" xfId="0" applyFont="1" applyFill="1" applyBorder="1" applyAlignment="1">
      <alignment horizontal="left" vertical="center"/>
    </xf>
    <xf numFmtId="0" fontId="113" fillId="16" borderId="26" xfId="0" applyFont="1" applyFill="1" applyBorder="1" applyAlignment="1">
      <alignment horizontal="left" vertical="center"/>
    </xf>
    <xf numFmtId="0" fontId="114" fillId="0" borderId="23" xfId="0" applyFont="1" applyBorder="1" applyAlignment="1" applyProtection="1">
      <alignment horizontal="center" vertical="center"/>
      <protection locked="0"/>
    </xf>
    <xf numFmtId="0" fontId="114" fillId="0" borderId="16" xfId="0" applyFont="1" applyBorder="1" applyAlignment="1" applyProtection="1">
      <alignment horizontal="center" vertical="center"/>
      <protection locked="0"/>
    </xf>
    <xf numFmtId="0" fontId="114" fillId="0" borderId="145" xfId="0" applyFont="1" applyBorder="1" applyAlignment="1" applyProtection="1">
      <alignment horizontal="center" vertical="center"/>
      <protection locked="0"/>
    </xf>
    <xf numFmtId="0" fontId="114" fillId="0" borderId="26" xfId="0" applyFont="1" applyBorder="1" applyAlignment="1" applyProtection="1">
      <alignment horizontal="center" vertical="center"/>
      <protection locked="0"/>
    </xf>
    <xf numFmtId="0" fontId="113" fillId="0" borderId="23" xfId="0" applyFont="1" applyBorder="1" applyAlignment="1" applyProtection="1">
      <alignment horizontal="right" vertical="center"/>
      <protection locked="0"/>
    </xf>
    <xf numFmtId="0" fontId="113" fillId="0" borderId="145" xfId="0" applyFont="1" applyBorder="1" applyAlignment="1" applyProtection="1">
      <alignment horizontal="right" vertical="center"/>
      <protection locked="0"/>
    </xf>
    <xf numFmtId="0" fontId="113" fillId="0" borderId="17" xfId="0" applyFont="1" applyBorder="1" applyAlignment="1" applyProtection="1">
      <alignment horizontal="center" vertical="center"/>
      <protection locked="0"/>
    </xf>
    <xf numFmtId="0" fontId="113" fillId="0" borderId="143" xfId="0" applyFont="1" applyBorder="1" applyAlignment="1" applyProtection="1">
      <alignment horizontal="center" vertical="center"/>
      <protection locked="0"/>
    </xf>
  </cellXfs>
  <cellStyles count="15">
    <cellStyle name="20% - 강조색5" xfId="2" builtinId="46"/>
    <cellStyle name="40% - 강조색1" xfId="8" builtinId="31"/>
    <cellStyle name="60% - 강조색5" xfId="3" builtinId="48"/>
    <cellStyle name="강조색5" xfId="1" builtinId="45"/>
    <cellStyle name="메모" xfId="7" builtinId="10"/>
    <cellStyle name="백분율" xfId="6" builtinId="5"/>
    <cellStyle name="백분율 2" xfId="13" xr:uid="{00000000-0005-0000-0000-000006000000}"/>
    <cellStyle name="쉼표 [0]" xfId="5" builtinId="6"/>
    <cellStyle name="쉼표 [0] 2" xfId="11" xr:uid="{00000000-0005-0000-0000-000008000000}"/>
    <cellStyle name="쉼표 [0] 7" xfId="9" xr:uid="{00000000-0005-0000-0000-000009000000}"/>
    <cellStyle name="통화 [0]" xfId="14" builtinId="7"/>
    <cellStyle name="표준" xfId="0" builtinId="0"/>
    <cellStyle name="표준 2" xfId="12" xr:uid="{00000000-0005-0000-0000-00000C000000}"/>
    <cellStyle name="표준 3" xfId="10" xr:uid="{00000000-0005-0000-0000-00000D000000}"/>
    <cellStyle name="하이퍼링크" xfId="4" builtinId="8"/>
  </cellStyles>
  <dxfs count="0"/>
  <tableStyles count="0" defaultTableStyle="TableStyleMedium2" defaultPivotStyle="PivotStyleLight16"/>
  <colors>
    <mruColors>
      <color rgb="FF0000FF"/>
      <color rgb="FFE6EBF6"/>
      <color rgb="FFCC00CC"/>
      <color rgb="FFFF00FF"/>
      <color rgb="FFA903AD"/>
      <color rgb="FF99CCFF"/>
      <color rgb="FFFFFFCC"/>
      <color rgb="FFFFCCFF"/>
      <color rgb="FF33CC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Radio" firstButton="1" fmlaLink="E$15" lockText="1" noThreeD="1"/>
</file>

<file path=xl/ctrlProps/ctrlProp126.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3.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4.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5.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6.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7.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8.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9.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10.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11.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12.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13.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14.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15.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16.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17.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18.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19.xml.rels><?xml version="1.0" encoding="UTF-8" standalone="yes"?>
<Relationships xmlns="http://schemas.openxmlformats.org/package/2006/relationships"><Relationship Id="rId1" Type="http://schemas.openxmlformats.org/officeDocument/2006/relationships/hyperlink" Target="#&#47785;&#52264;!A1"/></Relationships>
</file>

<file path=xl/drawings/drawing1.xml><?xml version="1.0" encoding="utf-8"?>
<xdr:wsDr xmlns:xdr="http://schemas.openxmlformats.org/drawingml/2006/spreadsheetDrawing" xmlns:a="http://schemas.openxmlformats.org/drawingml/2006/main">
  <xdr:twoCellAnchor>
    <xdr:from>
      <xdr:col>8</xdr:col>
      <xdr:colOff>150017</xdr:colOff>
      <xdr:row>8</xdr:row>
      <xdr:rowOff>85724</xdr:rowOff>
    </xdr:from>
    <xdr:to>
      <xdr:col>11</xdr:col>
      <xdr:colOff>297655</xdr:colOff>
      <xdr:row>14</xdr:row>
      <xdr:rowOff>117974</xdr:rowOff>
    </xdr:to>
    <xdr:sp macro="" textlink="">
      <xdr:nvSpPr>
        <xdr:cNvPr id="2" name="사각형: 둥근 모서리 1">
          <a:extLst>
            <a:ext uri="{FF2B5EF4-FFF2-40B4-BE49-F238E27FC236}">
              <a16:creationId xmlns:a16="http://schemas.microsoft.com/office/drawing/2014/main" id="{00000000-0008-0000-0000-000002000000}"/>
            </a:ext>
          </a:extLst>
        </xdr:cNvPr>
        <xdr:cNvSpPr/>
      </xdr:nvSpPr>
      <xdr:spPr>
        <a:xfrm>
          <a:off x="7936705" y="1955005"/>
          <a:ext cx="2219325" cy="1675313"/>
        </a:xfrm>
        <a:prstGeom prst="roundRect">
          <a:avLst>
            <a:gd name="adj" fmla="val 11692"/>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solidFill>
                <a:sysClr val="windowText" lastClr="000000"/>
              </a:solidFill>
            </a:rPr>
            <a:t>참여연구자 등록</a:t>
          </a:r>
          <a:endParaRPr lang="en-US" altLang="ko-KR" sz="1100" b="1" u="sng">
            <a:solidFill>
              <a:sysClr val="windowText" lastClr="00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n-US" altLang="ko-KR" sz="1100" b="1">
            <a:solidFill>
              <a:srgbClr val="0000FF"/>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000" b="1">
              <a:solidFill>
                <a:srgbClr val="0000FF"/>
              </a:solidFill>
              <a:effectLst/>
              <a:latin typeface="+mn-lt"/>
              <a:ea typeface="+mn-ea"/>
              <a:cs typeface="+mn-cs"/>
            </a:rPr>
            <a:t>▪  SRnD  </a:t>
          </a:r>
          <a:r>
            <a:rPr lang="ko-KR" altLang="ko-KR" sz="1000" b="1">
              <a:solidFill>
                <a:srgbClr val="0000FF"/>
              </a:solidFill>
              <a:effectLst/>
              <a:latin typeface="+mn-lt"/>
              <a:ea typeface="+mn-ea"/>
              <a:cs typeface="+mn-cs"/>
            </a:rPr>
            <a:t>내과제관리</a:t>
          </a:r>
          <a:r>
            <a:rPr lang="en-US" altLang="ko-KR" sz="1000" b="1">
              <a:solidFill>
                <a:srgbClr val="0000FF"/>
              </a:solidFill>
              <a:effectLst/>
              <a:latin typeface="+mn-lt"/>
              <a:ea typeface="+mn-ea"/>
              <a:cs typeface="+mn-cs"/>
            </a:rPr>
            <a:t>&gt;</a:t>
          </a:r>
          <a:r>
            <a:rPr lang="ko-KR" altLang="en-US" sz="1000" b="1">
              <a:solidFill>
                <a:srgbClr val="0000FF"/>
              </a:solidFill>
              <a:effectLst/>
              <a:latin typeface="+mn-lt"/>
              <a:ea typeface="+mn-ea"/>
              <a:cs typeface="+mn-cs"/>
            </a:rPr>
            <a:t>참여연구원등록</a:t>
          </a:r>
          <a:r>
            <a:rPr lang="en-US" altLang="ko-KR" sz="1000" b="1">
              <a:solidFill>
                <a:srgbClr val="0000FF"/>
              </a:solidFill>
              <a:effectLst/>
              <a:latin typeface="+mn-lt"/>
              <a:ea typeface="+mn-ea"/>
              <a:cs typeface="+mn-cs"/>
            </a:rPr>
            <a:t>/</a:t>
          </a:r>
          <a:r>
            <a:rPr lang="ko-KR" altLang="en-US" sz="1000" b="1">
              <a:solidFill>
                <a:srgbClr val="0000FF"/>
              </a:solidFill>
              <a:effectLst/>
              <a:latin typeface="+mn-lt"/>
              <a:ea typeface="+mn-ea"/>
              <a:cs typeface="+mn-cs"/>
            </a:rPr>
            <a:t>변경</a:t>
          </a:r>
          <a:endParaRPr lang="ko-KR" altLang="en-US" sz="1000" b="1" u="sng"/>
        </a:p>
      </xdr:txBody>
    </xdr:sp>
    <xdr:clientData/>
  </xdr:twoCellAnchor>
  <xdr:twoCellAnchor>
    <xdr:from>
      <xdr:col>11</xdr:col>
      <xdr:colOff>643731</xdr:colOff>
      <xdr:row>8</xdr:row>
      <xdr:rowOff>85724</xdr:rowOff>
    </xdr:from>
    <xdr:to>
      <xdr:col>13</xdr:col>
      <xdr:colOff>367504</xdr:colOff>
      <xdr:row>14</xdr:row>
      <xdr:rowOff>117974</xdr:rowOff>
    </xdr:to>
    <xdr:sp macro="" textlink="">
      <xdr:nvSpPr>
        <xdr:cNvPr id="3" name="사각형: 둥근 모서리 2">
          <a:extLst>
            <a:ext uri="{FF2B5EF4-FFF2-40B4-BE49-F238E27FC236}">
              <a16:creationId xmlns:a16="http://schemas.microsoft.com/office/drawing/2014/main" id="{00000000-0008-0000-0000-000003000000}"/>
            </a:ext>
          </a:extLst>
        </xdr:cNvPr>
        <xdr:cNvSpPr/>
      </xdr:nvSpPr>
      <xdr:spPr>
        <a:xfrm>
          <a:off x="10502106" y="1955005"/>
          <a:ext cx="1104898" cy="1675313"/>
        </a:xfrm>
        <a:prstGeom prst="roundRect">
          <a:avLst>
            <a:gd name="adj" fmla="val 13434"/>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solidFill>
                <a:sysClr val="windowText" lastClr="000000"/>
              </a:solidFill>
            </a:rPr>
            <a:t>참여연구자 </a:t>
          </a:r>
          <a:r>
            <a:rPr lang="ko-KR" altLang="en-US" sz="1100" b="1" u="sng"/>
            <a:t>확정</a:t>
          </a:r>
          <a:endParaRPr lang="en-US" altLang="ko-KR" sz="1100" b="1" u="sng"/>
        </a:p>
        <a:p>
          <a:pPr marL="0" marR="0" lvl="0" indent="0" algn="ctr" defTabSz="914400" eaLnBrk="1" fontAlgn="auto" latinLnBrk="0" hangingPunct="1">
            <a:lnSpc>
              <a:spcPct val="100000"/>
            </a:lnSpc>
            <a:spcBef>
              <a:spcPts val="0"/>
            </a:spcBef>
            <a:spcAft>
              <a:spcPts val="0"/>
            </a:spcAft>
            <a:buClrTx/>
            <a:buSzTx/>
            <a:buFontTx/>
            <a:buNone/>
            <a:tabLst/>
            <a:defRPr/>
          </a:pPr>
          <a:endParaRPr lang="en-US" altLang="ko-KR" sz="1050" b="1">
            <a:solidFill>
              <a:srgbClr val="0000FF"/>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050" b="1">
              <a:solidFill>
                <a:srgbClr val="0000FF"/>
              </a:solidFill>
              <a:effectLst/>
              <a:latin typeface="+mn-lt"/>
              <a:ea typeface="+mn-ea"/>
              <a:cs typeface="+mn-cs"/>
            </a:rPr>
            <a:t>(</a:t>
          </a:r>
          <a:r>
            <a:rPr lang="ko-KR" altLang="en-US" sz="1050" b="1">
              <a:solidFill>
                <a:srgbClr val="0000FF"/>
              </a:solidFill>
              <a:effectLst/>
              <a:latin typeface="+mn-lt"/>
              <a:ea typeface="+mn-ea"/>
              <a:cs typeface="+mn-cs"/>
            </a:rPr>
            <a:t>산학협력단</a:t>
          </a:r>
          <a:r>
            <a:rPr lang="en-US" altLang="ko-KR" sz="1050" b="1">
              <a:solidFill>
                <a:srgbClr val="0000FF"/>
              </a:solidFill>
              <a:effectLst/>
              <a:latin typeface="+mn-lt"/>
              <a:ea typeface="+mn-ea"/>
              <a:cs typeface="+mn-cs"/>
            </a:rPr>
            <a:t>)</a:t>
          </a:r>
        </a:p>
        <a:p>
          <a:pPr marL="0" marR="0" lvl="0" indent="0" algn="ctr" defTabSz="914400" eaLnBrk="1" fontAlgn="auto" latinLnBrk="0" hangingPunct="1">
            <a:lnSpc>
              <a:spcPct val="100000"/>
            </a:lnSpc>
            <a:spcBef>
              <a:spcPts val="0"/>
            </a:spcBef>
            <a:spcAft>
              <a:spcPts val="0"/>
            </a:spcAft>
            <a:buClrTx/>
            <a:buSzTx/>
            <a:buFontTx/>
            <a:buNone/>
            <a:tabLst/>
            <a:defRPr/>
          </a:pPr>
          <a:endParaRPr lang="ko-KR" altLang="en-US" sz="1050" b="1" u="sng">
            <a:solidFill>
              <a:srgbClr val="0000FF"/>
            </a:solidFill>
          </a:endParaRPr>
        </a:p>
      </xdr:txBody>
    </xdr:sp>
    <xdr:clientData/>
  </xdr:twoCellAnchor>
  <xdr:twoCellAnchor>
    <xdr:from>
      <xdr:col>14</xdr:col>
      <xdr:colOff>23017</xdr:colOff>
      <xdr:row>8</xdr:row>
      <xdr:rowOff>85724</xdr:rowOff>
    </xdr:from>
    <xdr:to>
      <xdr:col>17</xdr:col>
      <xdr:colOff>249236</xdr:colOff>
      <xdr:row>14</xdr:row>
      <xdr:rowOff>117974</xdr:rowOff>
    </xdr:to>
    <xdr:sp macro="" textlink="">
      <xdr:nvSpPr>
        <xdr:cNvPr id="4" name="사각형: 둥근 모서리 3">
          <a:extLst>
            <a:ext uri="{FF2B5EF4-FFF2-40B4-BE49-F238E27FC236}">
              <a16:creationId xmlns:a16="http://schemas.microsoft.com/office/drawing/2014/main" id="{00000000-0008-0000-0000-000004000000}"/>
            </a:ext>
          </a:extLst>
        </xdr:cNvPr>
        <xdr:cNvSpPr/>
      </xdr:nvSpPr>
      <xdr:spPr>
        <a:xfrm>
          <a:off x="11953080" y="1955005"/>
          <a:ext cx="2583656" cy="1675313"/>
        </a:xfrm>
        <a:prstGeom prst="roundRect">
          <a:avLst>
            <a:gd name="adj" fmla="val 9560"/>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solidFill>
                <a:sysClr val="windowText" lastClr="000000"/>
              </a:solidFill>
            </a:rPr>
            <a:t>연구자 변경</a:t>
          </a:r>
          <a:endParaRPr lang="en-US" altLang="ko-KR" sz="1100" b="1" u="sng">
            <a:solidFill>
              <a:sysClr val="windowText" lastClr="000000"/>
            </a:solidFill>
          </a:endParaRPr>
        </a:p>
        <a:p>
          <a:pPr algn="ctr"/>
          <a:endParaRPr lang="en-US" altLang="ko-KR" sz="1100" b="1" u="sng">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950" b="1">
              <a:solidFill>
                <a:srgbClr val="0000FF"/>
              </a:solidFill>
              <a:effectLst/>
              <a:latin typeface="+mn-lt"/>
              <a:ea typeface="+mn-ea"/>
              <a:cs typeface="+mn-cs"/>
            </a:rPr>
            <a:t>▪ SRnD </a:t>
          </a:r>
          <a:r>
            <a:rPr lang="ko-KR" altLang="en-US" sz="950" b="1">
              <a:solidFill>
                <a:srgbClr val="0000FF"/>
              </a:solidFill>
              <a:effectLst/>
              <a:latin typeface="+mn-lt"/>
              <a:ea typeface="+mn-ea"/>
              <a:cs typeface="+mn-cs"/>
            </a:rPr>
            <a:t>내</a:t>
          </a:r>
          <a:r>
            <a:rPr lang="ko-KR" altLang="ko-KR" sz="950" b="1">
              <a:solidFill>
                <a:srgbClr val="0000FF"/>
              </a:solidFill>
              <a:effectLst/>
              <a:latin typeface="+mn-lt"/>
              <a:ea typeface="+mn-ea"/>
              <a:cs typeface="+mn-cs"/>
            </a:rPr>
            <a:t>과제관리</a:t>
          </a:r>
          <a:r>
            <a:rPr lang="en-US" altLang="ko-KR" sz="950" b="1">
              <a:solidFill>
                <a:srgbClr val="0000FF"/>
              </a:solidFill>
              <a:effectLst/>
              <a:latin typeface="+mn-lt"/>
              <a:ea typeface="+mn-ea"/>
              <a:cs typeface="+mn-cs"/>
            </a:rPr>
            <a:t>&gt;</a:t>
          </a:r>
          <a:r>
            <a:rPr lang="ko-KR" altLang="en-US" sz="950" b="1">
              <a:solidFill>
                <a:srgbClr val="0000FF"/>
              </a:solidFill>
              <a:effectLst/>
              <a:latin typeface="+mn-lt"/>
              <a:ea typeface="+mn-ea"/>
              <a:cs typeface="+mn-cs"/>
            </a:rPr>
            <a:t>참여연구원등록</a:t>
          </a:r>
          <a:r>
            <a:rPr lang="en-US" altLang="ko-KR" sz="950" b="1">
              <a:solidFill>
                <a:srgbClr val="0000FF"/>
              </a:solidFill>
              <a:effectLst/>
              <a:latin typeface="+mn-lt"/>
              <a:ea typeface="+mn-ea"/>
              <a:cs typeface="+mn-cs"/>
            </a:rPr>
            <a:t>/</a:t>
          </a:r>
          <a:r>
            <a:rPr lang="ko-KR" altLang="en-US" sz="950" b="1">
              <a:solidFill>
                <a:srgbClr val="0000FF"/>
              </a:solidFill>
              <a:effectLst/>
              <a:latin typeface="+mn-lt"/>
              <a:ea typeface="+mn-ea"/>
              <a:cs typeface="+mn-cs"/>
            </a:rPr>
            <a:t>변경</a:t>
          </a:r>
          <a:endParaRPr lang="en-US" altLang="ko-KR" sz="950" b="1">
            <a:solidFill>
              <a:srgbClr val="0000FF"/>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950" b="1">
              <a:solidFill>
                <a:srgbClr val="0000FF"/>
              </a:solidFill>
              <a:effectLst/>
              <a:latin typeface="+mn-lt"/>
              <a:ea typeface="+mn-ea"/>
              <a:cs typeface="+mn-cs"/>
            </a:rPr>
            <a:t>▪ SRnD </a:t>
          </a:r>
          <a:r>
            <a:rPr lang="ko-KR" altLang="en-US" sz="950" b="1">
              <a:solidFill>
                <a:srgbClr val="0000FF"/>
              </a:solidFill>
              <a:effectLst/>
              <a:latin typeface="+mn-lt"/>
              <a:ea typeface="+mn-ea"/>
              <a:cs typeface="+mn-cs"/>
            </a:rPr>
            <a:t>학생인건비관리</a:t>
          </a:r>
          <a:r>
            <a:rPr lang="en-US" altLang="ko-KR" sz="950" b="1">
              <a:solidFill>
                <a:srgbClr val="0000FF"/>
              </a:solidFill>
              <a:effectLst/>
              <a:latin typeface="+mn-lt"/>
              <a:ea typeface="+mn-ea"/>
              <a:cs typeface="+mn-cs"/>
            </a:rPr>
            <a:t>&gt;</a:t>
          </a:r>
          <a:r>
            <a:rPr lang="ko-KR" altLang="en-US" sz="950" b="1">
              <a:solidFill>
                <a:srgbClr val="0000FF"/>
              </a:solidFill>
              <a:effectLst/>
              <a:latin typeface="+mn-lt"/>
              <a:ea typeface="+mn-ea"/>
              <a:cs typeface="+mn-cs"/>
            </a:rPr>
            <a:t>학생연구원관리</a:t>
          </a:r>
          <a:r>
            <a:rPr lang="en-US" altLang="ko-KR" sz="950" b="1">
              <a:solidFill>
                <a:srgbClr val="0000FF"/>
              </a:solidFill>
              <a:effectLst/>
              <a:latin typeface="+mn-lt"/>
              <a:ea typeface="+mn-ea"/>
              <a:cs typeface="+mn-cs"/>
            </a:rPr>
            <a:t>&gt;</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950" b="1">
              <a:solidFill>
                <a:srgbClr val="0000FF"/>
              </a:solidFill>
              <a:effectLst/>
              <a:latin typeface="+mn-lt"/>
              <a:ea typeface="+mn-ea"/>
              <a:cs typeface="+mn-cs"/>
            </a:rPr>
            <a:t>                  </a:t>
          </a:r>
          <a:r>
            <a:rPr lang="ko-KR" altLang="en-US" sz="950" b="1">
              <a:solidFill>
                <a:srgbClr val="0000FF"/>
              </a:solidFill>
              <a:effectLst/>
              <a:latin typeface="+mn-lt"/>
              <a:ea typeface="+mn-ea"/>
              <a:cs typeface="+mn-cs"/>
            </a:rPr>
            <a:t>학생연구원등록변경신청</a:t>
          </a:r>
          <a:endParaRPr lang="ko-KR" altLang="ko-KR" sz="950">
            <a:solidFill>
              <a:srgbClr val="0000FF"/>
            </a:solidFill>
            <a:effectLst/>
          </a:endParaRPr>
        </a:p>
        <a:p>
          <a:pPr algn="ctr"/>
          <a:endParaRPr lang="ko-KR" altLang="en-US" sz="900" b="1" u="none"/>
        </a:p>
      </xdr:txBody>
    </xdr:sp>
    <xdr:clientData/>
  </xdr:twoCellAnchor>
  <xdr:twoCellAnchor>
    <xdr:from>
      <xdr:col>17</xdr:col>
      <xdr:colOff>595312</xdr:colOff>
      <xdr:row>8</xdr:row>
      <xdr:rowOff>85724</xdr:rowOff>
    </xdr:from>
    <xdr:to>
      <xdr:col>18</xdr:col>
      <xdr:colOff>590551</xdr:colOff>
      <xdr:row>14</xdr:row>
      <xdr:rowOff>117974</xdr:rowOff>
    </xdr:to>
    <xdr:sp macro="" textlink="">
      <xdr:nvSpPr>
        <xdr:cNvPr id="5" name="사각형: 둥근 모서리 4">
          <a:extLst>
            <a:ext uri="{FF2B5EF4-FFF2-40B4-BE49-F238E27FC236}">
              <a16:creationId xmlns:a16="http://schemas.microsoft.com/office/drawing/2014/main" id="{00000000-0008-0000-0000-000005000000}"/>
            </a:ext>
          </a:extLst>
        </xdr:cNvPr>
        <xdr:cNvSpPr/>
      </xdr:nvSpPr>
      <xdr:spPr>
        <a:xfrm>
          <a:off x="14882812" y="1955005"/>
          <a:ext cx="685802" cy="1675313"/>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none"/>
            <a:t>인건비 지급</a:t>
          </a:r>
        </a:p>
      </xdr:txBody>
    </xdr:sp>
    <xdr:clientData/>
  </xdr:twoCellAnchor>
  <xdr:twoCellAnchor>
    <xdr:from>
      <xdr:col>17</xdr:col>
      <xdr:colOff>328613</xdr:colOff>
      <xdr:row>10</xdr:row>
      <xdr:rowOff>211929</xdr:rowOff>
    </xdr:from>
    <xdr:to>
      <xdr:col>17</xdr:col>
      <xdr:colOff>538163</xdr:colOff>
      <xdr:row>11</xdr:row>
      <xdr:rowOff>183354</xdr:rowOff>
    </xdr:to>
    <xdr:sp macro="" textlink="">
      <xdr:nvSpPr>
        <xdr:cNvPr id="6" name="화살표: 갈매기형 수장 5">
          <a:extLst>
            <a:ext uri="{FF2B5EF4-FFF2-40B4-BE49-F238E27FC236}">
              <a16:creationId xmlns:a16="http://schemas.microsoft.com/office/drawing/2014/main" id="{00000000-0008-0000-0000-000006000000}"/>
            </a:ext>
          </a:extLst>
        </xdr:cNvPr>
        <xdr:cNvSpPr/>
      </xdr:nvSpPr>
      <xdr:spPr>
        <a:xfrm>
          <a:off x="14616113" y="2628898"/>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357187</xdr:colOff>
      <xdr:row>10</xdr:row>
      <xdr:rowOff>211929</xdr:rowOff>
    </xdr:from>
    <xdr:to>
      <xdr:col>11</xdr:col>
      <xdr:colOff>566737</xdr:colOff>
      <xdr:row>11</xdr:row>
      <xdr:rowOff>183354</xdr:rowOff>
    </xdr:to>
    <xdr:sp macro="" textlink="">
      <xdr:nvSpPr>
        <xdr:cNvPr id="7" name="화살표: 갈매기형 수장 6">
          <a:extLst>
            <a:ext uri="{FF2B5EF4-FFF2-40B4-BE49-F238E27FC236}">
              <a16:creationId xmlns:a16="http://schemas.microsoft.com/office/drawing/2014/main" id="{00000000-0008-0000-0000-000007000000}"/>
            </a:ext>
          </a:extLst>
        </xdr:cNvPr>
        <xdr:cNvSpPr/>
      </xdr:nvSpPr>
      <xdr:spPr>
        <a:xfrm>
          <a:off x="10215562" y="2628898"/>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445296</xdr:colOff>
      <xdr:row>10</xdr:row>
      <xdr:rowOff>211929</xdr:rowOff>
    </xdr:from>
    <xdr:to>
      <xdr:col>13</xdr:col>
      <xdr:colOff>659609</xdr:colOff>
      <xdr:row>11</xdr:row>
      <xdr:rowOff>183354</xdr:rowOff>
    </xdr:to>
    <xdr:sp macro="" textlink="">
      <xdr:nvSpPr>
        <xdr:cNvPr id="8" name="화살표: 갈매기형 수장 7">
          <a:extLst>
            <a:ext uri="{FF2B5EF4-FFF2-40B4-BE49-F238E27FC236}">
              <a16:creationId xmlns:a16="http://schemas.microsoft.com/office/drawing/2014/main" id="{00000000-0008-0000-0000-000008000000}"/>
            </a:ext>
          </a:extLst>
        </xdr:cNvPr>
        <xdr:cNvSpPr/>
      </xdr:nvSpPr>
      <xdr:spPr>
        <a:xfrm>
          <a:off x="11684796" y="2628898"/>
          <a:ext cx="214313"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0</xdr:col>
      <xdr:colOff>202405</xdr:colOff>
      <xdr:row>29</xdr:row>
      <xdr:rowOff>85725</xdr:rowOff>
    </xdr:from>
    <xdr:to>
      <xdr:col>4</xdr:col>
      <xdr:colOff>178592</xdr:colOff>
      <xdr:row>33</xdr:row>
      <xdr:rowOff>138000</xdr:rowOff>
    </xdr:to>
    <xdr:sp macro="" textlink="">
      <xdr:nvSpPr>
        <xdr:cNvPr id="11" name="사각형: 둥근 모서리 10">
          <a:extLst>
            <a:ext uri="{FF2B5EF4-FFF2-40B4-BE49-F238E27FC236}">
              <a16:creationId xmlns:a16="http://schemas.microsoft.com/office/drawing/2014/main" id="{00000000-0008-0000-0000-00000B000000}"/>
            </a:ext>
          </a:extLst>
        </xdr:cNvPr>
        <xdr:cNvSpPr/>
      </xdr:nvSpPr>
      <xdr:spPr>
        <a:xfrm>
          <a:off x="202405" y="7515225"/>
          <a:ext cx="3524250" cy="909525"/>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 입력</a:t>
          </a:r>
          <a:endParaRPr lang="en-US" altLang="ko-KR" sz="1100" b="1" u="sng"/>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100" b="1">
              <a:solidFill>
                <a:srgbClr val="0000FF"/>
              </a:solidFill>
              <a:effectLst/>
              <a:latin typeface="+mn-lt"/>
              <a:ea typeface="+mn-ea"/>
              <a:cs typeface="+mn-cs"/>
            </a:rPr>
            <a:t>▪ </a:t>
          </a:r>
          <a:r>
            <a:rPr lang="en-US" altLang="ko-KR" sz="1050" b="1">
              <a:solidFill>
                <a:srgbClr val="0000FF"/>
              </a:solidFill>
              <a:effectLst/>
              <a:latin typeface="+mn-lt"/>
              <a:ea typeface="+mn-ea"/>
              <a:cs typeface="+mn-cs"/>
            </a:rPr>
            <a:t>SRnD </a:t>
          </a:r>
          <a:r>
            <a:rPr lang="ko-KR" altLang="ko-KR" sz="1050" b="1">
              <a:solidFill>
                <a:srgbClr val="0000FF"/>
              </a:solidFill>
              <a:effectLst/>
              <a:latin typeface="+mn-lt"/>
              <a:ea typeface="+mn-ea"/>
              <a:cs typeface="+mn-cs"/>
            </a:rPr>
            <a:t>내과제관리</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지출신청</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구매지출</a:t>
          </a:r>
          <a:endParaRPr lang="en-US" altLang="ko-KR" sz="1050" b="1">
            <a:solidFill>
              <a:srgbClr val="0000FF"/>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1">
              <a:solidFill>
                <a:srgbClr val="0000FF"/>
              </a:solidFill>
              <a:effectLst/>
              <a:latin typeface="+mn-lt"/>
              <a:ea typeface="+mn-ea"/>
              <a:cs typeface="+mn-cs"/>
            </a:rPr>
            <a:t>             ▪ </a:t>
          </a:r>
          <a:r>
            <a:rPr lang="en-US" altLang="ko-KR" sz="1050" b="1" u="none">
              <a:solidFill>
                <a:srgbClr val="0000FF"/>
              </a:solidFill>
              <a:effectLst/>
              <a:latin typeface="+mn-lt"/>
              <a:ea typeface="+mn-ea"/>
              <a:cs typeface="+mn-cs"/>
            </a:rPr>
            <a:t>SRnD </a:t>
          </a:r>
          <a:r>
            <a:rPr lang="ko-KR" altLang="en-US" sz="1050" b="1" u="none">
              <a:solidFill>
                <a:srgbClr val="0000FF"/>
              </a:solidFill>
              <a:effectLst/>
              <a:latin typeface="+mn-lt"/>
              <a:ea typeface="+mn-ea"/>
              <a:cs typeface="+mn-cs"/>
            </a:rPr>
            <a:t>구매자산</a:t>
          </a:r>
          <a:r>
            <a:rPr lang="en-US" altLang="ko-KR" sz="1050" b="1" u="none">
              <a:solidFill>
                <a:srgbClr val="0000FF"/>
              </a:solidFill>
              <a:effectLst/>
              <a:latin typeface="+mn-lt"/>
              <a:ea typeface="+mn-ea"/>
              <a:cs typeface="+mn-cs"/>
            </a:rPr>
            <a:t>&gt;</a:t>
          </a:r>
          <a:r>
            <a:rPr lang="ko-KR" altLang="en-US" sz="1050" b="1" u="none">
              <a:solidFill>
                <a:srgbClr val="0000FF"/>
              </a:solidFill>
              <a:effectLst/>
              <a:latin typeface="+mn-lt"/>
              <a:ea typeface="+mn-ea"/>
              <a:cs typeface="+mn-cs"/>
            </a:rPr>
            <a:t>구매</a:t>
          </a:r>
          <a:r>
            <a:rPr lang="en-US" altLang="ko-KR" sz="1050" b="1" u="none">
              <a:solidFill>
                <a:srgbClr val="0000FF"/>
              </a:solidFill>
              <a:effectLst/>
              <a:latin typeface="+mn-lt"/>
              <a:ea typeface="+mn-ea"/>
              <a:cs typeface="+mn-cs"/>
            </a:rPr>
            <a:t>&gt;</a:t>
          </a:r>
          <a:r>
            <a:rPr lang="ko-KR" altLang="en-US" sz="1050" b="1" u="none">
              <a:solidFill>
                <a:srgbClr val="0000FF"/>
              </a:solidFill>
              <a:effectLst/>
              <a:latin typeface="+mn-lt"/>
              <a:ea typeface="+mn-ea"/>
              <a:cs typeface="+mn-cs"/>
            </a:rPr>
            <a:t>구매신청</a:t>
          </a:r>
          <a:endParaRPr lang="ko-KR" altLang="en-US" sz="1100" b="1" u="none"/>
        </a:p>
      </xdr:txBody>
    </xdr:sp>
    <xdr:clientData/>
  </xdr:twoCellAnchor>
  <xdr:twoCellAnchor>
    <xdr:from>
      <xdr:col>4</xdr:col>
      <xdr:colOff>709305</xdr:colOff>
      <xdr:row>29</xdr:row>
      <xdr:rowOff>85725</xdr:rowOff>
    </xdr:from>
    <xdr:to>
      <xdr:col>6</xdr:col>
      <xdr:colOff>712305</xdr:colOff>
      <xdr:row>33</xdr:row>
      <xdr:rowOff>138000</xdr:rowOff>
    </xdr:to>
    <xdr:sp macro="" textlink="">
      <xdr:nvSpPr>
        <xdr:cNvPr id="12" name="사각형: 둥근 모서리 11">
          <a:extLst>
            <a:ext uri="{FF2B5EF4-FFF2-40B4-BE49-F238E27FC236}">
              <a16:creationId xmlns:a16="http://schemas.microsoft.com/office/drawing/2014/main" id="{00000000-0008-0000-0000-00000C000000}"/>
            </a:ext>
          </a:extLst>
        </xdr:cNvPr>
        <xdr:cNvSpPr/>
      </xdr:nvSpPr>
      <xdr:spPr>
        <a:xfrm>
          <a:off x="4257368" y="7515225"/>
          <a:ext cx="1908000" cy="909525"/>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사용내역서 출력 및 증빙서류 제출</a:t>
          </a:r>
          <a:endParaRPr lang="ko-KR" altLang="en-US" sz="1050" b="1" u="sng">
            <a:solidFill>
              <a:srgbClr val="0000FF"/>
            </a:solidFill>
          </a:endParaRPr>
        </a:p>
      </xdr:txBody>
    </xdr:sp>
    <xdr:clientData/>
  </xdr:twoCellAnchor>
  <xdr:twoCellAnchor>
    <xdr:from>
      <xdr:col>6</xdr:col>
      <xdr:colOff>1243018</xdr:colOff>
      <xdr:row>29</xdr:row>
      <xdr:rowOff>85725</xdr:rowOff>
    </xdr:from>
    <xdr:to>
      <xdr:col>7</xdr:col>
      <xdr:colOff>442920</xdr:colOff>
      <xdr:row>33</xdr:row>
      <xdr:rowOff>138000</xdr:rowOff>
    </xdr:to>
    <xdr:sp macro="" textlink="">
      <xdr:nvSpPr>
        <xdr:cNvPr id="14" name="사각형: 둥근 모서리 13">
          <a:extLst>
            <a:ext uri="{FF2B5EF4-FFF2-40B4-BE49-F238E27FC236}">
              <a16:creationId xmlns:a16="http://schemas.microsoft.com/office/drawing/2014/main" id="{00000000-0008-0000-0000-00000E000000}"/>
            </a:ext>
          </a:extLst>
        </xdr:cNvPr>
        <xdr:cNvSpPr/>
      </xdr:nvSpPr>
      <xdr:spPr>
        <a:xfrm>
          <a:off x="6696081" y="7515225"/>
          <a:ext cx="842964" cy="909525"/>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none"/>
            <a:t>대금지급</a:t>
          </a:r>
        </a:p>
      </xdr:txBody>
    </xdr:sp>
    <xdr:clientData/>
  </xdr:twoCellAnchor>
  <xdr:twoCellAnchor>
    <xdr:from>
      <xdr:col>9</xdr:col>
      <xdr:colOff>214317</xdr:colOff>
      <xdr:row>29</xdr:row>
      <xdr:rowOff>76200</xdr:rowOff>
    </xdr:from>
    <xdr:to>
      <xdr:col>13</xdr:col>
      <xdr:colOff>154780</xdr:colOff>
      <xdr:row>32</xdr:row>
      <xdr:rowOff>156862</xdr:rowOff>
    </xdr:to>
    <xdr:sp macro=""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8691567" y="7505700"/>
          <a:ext cx="2702713" cy="7236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 입력</a:t>
          </a:r>
          <a:endParaRPr lang="en-US" altLang="ko-KR" sz="1100" b="1" u="sng"/>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100" b="1">
              <a:solidFill>
                <a:srgbClr val="0000FF"/>
              </a:solidFill>
              <a:effectLst/>
              <a:latin typeface="+mn-lt"/>
              <a:ea typeface="+mn-ea"/>
              <a:cs typeface="+mn-cs"/>
            </a:rPr>
            <a:t>▪ </a:t>
          </a:r>
          <a:r>
            <a:rPr lang="en-US" altLang="ko-KR" sz="1050" b="1">
              <a:solidFill>
                <a:srgbClr val="0000FF"/>
              </a:solidFill>
              <a:effectLst/>
              <a:latin typeface="+mn-lt"/>
              <a:ea typeface="+mn-ea"/>
              <a:cs typeface="+mn-cs"/>
            </a:rPr>
            <a:t>SRnD </a:t>
          </a:r>
          <a:r>
            <a:rPr lang="ko-KR" altLang="ko-KR" sz="1050" b="1">
              <a:solidFill>
                <a:srgbClr val="0000FF"/>
              </a:solidFill>
              <a:effectLst/>
              <a:latin typeface="+mn-lt"/>
              <a:ea typeface="+mn-ea"/>
              <a:cs typeface="+mn-cs"/>
            </a:rPr>
            <a:t>내과제관리</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지출신청</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여비</a:t>
          </a:r>
          <a:endParaRPr lang="en-US" altLang="ko-KR" sz="1050" b="1">
            <a:solidFill>
              <a:srgbClr val="0000FF"/>
            </a:solidFill>
            <a:effectLst/>
            <a:latin typeface="+mn-lt"/>
            <a:ea typeface="+mn-ea"/>
            <a:cs typeface="+mn-cs"/>
          </a:endParaRPr>
        </a:p>
      </xdr:txBody>
    </xdr:sp>
    <xdr:clientData/>
  </xdr:twoCellAnchor>
  <xdr:twoCellAnchor>
    <xdr:from>
      <xdr:col>14</xdr:col>
      <xdr:colOff>110417</xdr:colOff>
      <xdr:row>29</xdr:row>
      <xdr:rowOff>76200</xdr:rowOff>
    </xdr:from>
    <xdr:to>
      <xdr:col>16</xdr:col>
      <xdr:colOff>446792</xdr:colOff>
      <xdr:row>32</xdr:row>
      <xdr:rowOff>156862</xdr:rowOff>
    </xdr:to>
    <xdr:sp macro="" textlink="">
      <xdr:nvSpPr>
        <xdr:cNvPr id="19" name="사각형: 둥근 모서리 18">
          <a:extLst>
            <a:ext uri="{FF2B5EF4-FFF2-40B4-BE49-F238E27FC236}">
              <a16:creationId xmlns:a16="http://schemas.microsoft.com/office/drawing/2014/main" id="{00000000-0008-0000-0000-000013000000}"/>
            </a:ext>
          </a:extLst>
        </xdr:cNvPr>
        <xdr:cNvSpPr/>
      </xdr:nvSpPr>
      <xdr:spPr>
        <a:xfrm>
          <a:off x="12040480" y="7505700"/>
          <a:ext cx="1908000" cy="7236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사용내역서 출력 및 증빙서류 제출</a:t>
          </a:r>
          <a:endParaRPr lang="ko-KR" altLang="en-US" sz="1050" b="1" u="sng">
            <a:solidFill>
              <a:srgbClr val="0000FF"/>
            </a:solidFill>
          </a:endParaRPr>
        </a:p>
      </xdr:txBody>
    </xdr:sp>
    <xdr:clientData/>
  </xdr:twoCellAnchor>
  <xdr:twoCellAnchor>
    <xdr:from>
      <xdr:col>17</xdr:col>
      <xdr:colOff>307181</xdr:colOff>
      <xdr:row>29</xdr:row>
      <xdr:rowOff>76200</xdr:rowOff>
    </xdr:from>
    <xdr:to>
      <xdr:col>18</xdr:col>
      <xdr:colOff>590551</xdr:colOff>
      <xdr:row>32</xdr:row>
      <xdr:rowOff>156862</xdr:rowOff>
    </xdr:to>
    <xdr:sp macro="" textlink="">
      <xdr:nvSpPr>
        <xdr:cNvPr id="20" name="사각형: 둥근 모서리 19">
          <a:extLst>
            <a:ext uri="{FF2B5EF4-FFF2-40B4-BE49-F238E27FC236}">
              <a16:creationId xmlns:a16="http://schemas.microsoft.com/office/drawing/2014/main" id="{00000000-0008-0000-0000-000014000000}"/>
            </a:ext>
          </a:extLst>
        </xdr:cNvPr>
        <xdr:cNvSpPr/>
      </xdr:nvSpPr>
      <xdr:spPr>
        <a:xfrm>
          <a:off x="14594681" y="7505700"/>
          <a:ext cx="973933" cy="7236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none"/>
            <a:t>여비 지급</a:t>
          </a:r>
        </a:p>
      </xdr:txBody>
    </xdr:sp>
    <xdr:clientData/>
  </xdr:twoCellAnchor>
  <xdr:twoCellAnchor>
    <xdr:from>
      <xdr:col>0</xdr:col>
      <xdr:colOff>202405</xdr:colOff>
      <xdr:row>48</xdr:row>
      <xdr:rowOff>76200</xdr:rowOff>
    </xdr:from>
    <xdr:to>
      <xdr:col>3</xdr:col>
      <xdr:colOff>709611</xdr:colOff>
      <xdr:row>51</xdr:row>
      <xdr:rowOff>158025</xdr:rowOff>
    </xdr:to>
    <xdr:sp macro="" textlink="">
      <xdr:nvSpPr>
        <xdr:cNvPr id="23" name="사각형: 둥근 모서리 22">
          <a:extLst>
            <a:ext uri="{FF2B5EF4-FFF2-40B4-BE49-F238E27FC236}">
              <a16:creationId xmlns:a16="http://schemas.microsoft.com/office/drawing/2014/main" id="{00000000-0008-0000-0000-000017000000}"/>
            </a:ext>
          </a:extLst>
        </xdr:cNvPr>
        <xdr:cNvSpPr/>
      </xdr:nvSpPr>
      <xdr:spPr>
        <a:xfrm>
          <a:off x="202405" y="11625263"/>
          <a:ext cx="3102769" cy="724762"/>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 입력</a:t>
          </a:r>
          <a:endParaRPr lang="en-US" altLang="ko-KR" sz="1100" b="1" u="sng"/>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100" b="1">
              <a:solidFill>
                <a:srgbClr val="0000FF"/>
              </a:solidFill>
              <a:effectLst/>
              <a:latin typeface="+mn-lt"/>
              <a:ea typeface="+mn-ea"/>
              <a:cs typeface="+mn-cs"/>
            </a:rPr>
            <a:t>▪ </a:t>
          </a:r>
          <a:r>
            <a:rPr lang="en-US" altLang="ko-KR" sz="1050" b="1">
              <a:solidFill>
                <a:srgbClr val="0000FF"/>
              </a:solidFill>
              <a:effectLst/>
              <a:latin typeface="+mn-lt"/>
              <a:ea typeface="+mn-ea"/>
              <a:cs typeface="+mn-cs"/>
            </a:rPr>
            <a:t>SRnD </a:t>
          </a:r>
          <a:r>
            <a:rPr lang="ko-KR" altLang="ko-KR" sz="1050" b="1">
              <a:solidFill>
                <a:srgbClr val="0000FF"/>
              </a:solidFill>
              <a:effectLst/>
              <a:latin typeface="+mn-lt"/>
              <a:ea typeface="+mn-ea"/>
              <a:cs typeface="+mn-cs"/>
            </a:rPr>
            <a:t>내과제관리</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지출신청</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회의비</a:t>
          </a:r>
          <a:endParaRPr lang="en-US" altLang="ko-KR" sz="1050" b="1">
            <a:solidFill>
              <a:srgbClr val="0000FF"/>
            </a:solidFill>
            <a:effectLst/>
            <a:latin typeface="+mn-lt"/>
            <a:ea typeface="+mn-ea"/>
            <a:cs typeface="+mn-cs"/>
          </a:endParaRPr>
        </a:p>
      </xdr:txBody>
    </xdr:sp>
    <xdr:clientData/>
  </xdr:twoCellAnchor>
  <xdr:twoCellAnchor>
    <xdr:from>
      <xdr:col>4</xdr:col>
      <xdr:colOff>323543</xdr:colOff>
      <xdr:row>48</xdr:row>
      <xdr:rowOff>76200</xdr:rowOff>
    </xdr:from>
    <xdr:to>
      <xdr:col>6</xdr:col>
      <xdr:colOff>326543</xdr:colOff>
      <xdr:row>51</xdr:row>
      <xdr:rowOff>158025</xdr:rowOff>
    </xdr:to>
    <xdr:sp macro="" textlink="">
      <xdr:nvSpPr>
        <xdr:cNvPr id="24" name="사각형: 둥근 모서리 23">
          <a:extLst>
            <a:ext uri="{FF2B5EF4-FFF2-40B4-BE49-F238E27FC236}">
              <a16:creationId xmlns:a16="http://schemas.microsoft.com/office/drawing/2014/main" id="{00000000-0008-0000-0000-000018000000}"/>
            </a:ext>
          </a:extLst>
        </xdr:cNvPr>
        <xdr:cNvSpPr/>
      </xdr:nvSpPr>
      <xdr:spPr>
        <a:xfrm>
          <a:off x="3871606" y="11625263"/>
          <a:ext cx="1908000" cy="724762"/>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사용내역서 출력 및 증빙서류 제출</a:t>
          </a:r>
          <a:endParaRPr lang="ko-KR" altLang="en-US" sz="1050" b="1" u="sng">
            <a:solidFill>
              <a:srgbClr val="0000FF"/>
            </a:solidFill>
          </a:endParaRPr>
        </a:p>
      </xdr:txBody>
    </xdr:sp>
    <xdr:clientData/>
  </xdr:twoCellAnchor>
  <xdr:twoCellAnchor>
    <xdr:from>
      <xdr:col>6</xdr:col>
      <xdr:colOff>892974</xdr:colOff>
      <xdr:row>48</xdr:row>
      <xdr:rowOff>76200</xdr:rowOff>
    </xdr:from>
    <xdr:to>
      <xdr:col>7</xdr:col>
      <xdr:colOff>442920</xdr:colOff>
      <xdr:row>51</xdr:row>
      <xdr:rowOff>158025</xdr:rowOff>
    </xdr:to>
    <xdr:sp macro="" textlink="">
      <xdr:nvSpPr>
        <xdr:cNvPr id="25" name="사각형: 둥근 모서리 24">
          <a:extLst>
            <a:ext uri="{FF2B5EF4-FFF2-40B4-BE49-F238E27FC236}">
              <a16:creationId xmlns:a16="http://schemas.microsoft.com/office/drawing/2014/main" id="{00000000-0008-0000-0000-000019000000}"/>
            </a:ext>
          </a:extLst>
        </xdr:cNvPr>
        <xdr:cNvSpPr/>
      </xdr:nvSpPr>
      <xdr:spPr>
        <a:xfrm>
          <a:off x="6346037" y="11625263"/>
          <a:ext cx="1193008" cy="724762"/>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none"/>
            <a:t>회의비 지급</a:t>
          </a:r>
        </a:p>
      </xdr:txBody>
    </xdr:sp>
    <xdr:clientData/>
  </xdr:twoCellAnchor>
  <xdr:twoCellAnchor>
    <xdr:from>
      <xdr:col>9</xdr:col>
      <xdr:colOff>214318</xdr:colOff>
      <xdr:row>48</xdr:row>
      <xdr:rowOff>76200</xdr:rowOff>
    </xdr:from>
    <xdr:to>
      <xdr:col>13</xdr:col>
      <xdr:colOff>326239</xdr:colOff>
      <xdr:row>51</xdr:row>
      <xdr:rowOff>156863</xdr:rowOff>
    </xdr:to>
    <xdr:sp macro="" textlink="">
      <xdr:nvSpPr>
        <xdr:cNvPr id="28" name="사각형: 둥근 모서리 27">
          <a:extLst>
            <a:ext uri="{FF2B5EF4-FFF2-40B4-BE49-F238E27FC236}">
              <a16:creationId xmlns:a16="http://schemas.microsoft.com/office/drawing/2014/main" id="{00000000-0008-0000-0000-00001C000000}"/>
            </a:ext>
          </a:extLst>
        </xdr:cNvPr>
        <xdr:cNvSpPr/>
      </xdr:nvSpPr>
      <xdr:spPr>
        <a:xfrm>
          <a:off x="8691568" y="11625263"/>
          <a:ext cx="2874171" cy="7236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solidFill>
                <a:sysClr val="windowText" lastClr="000000"/>
              </a:solidFill>
            </a:rPr>
            <a:t>사용내역 입력</a:t>
          </a:r>
          <a:endParaRPr lang="en-US" altLang="ko-KR" sz="1100" b="1" u="sng">
            <a:solidFill>
              <a:sysClr val="windowText" lastClr="00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100" b="1">
              <a:solidFill>
                <a:srgbClr val="0000FF"/>
              </a:solidFill>
              <a:effectLst/>
              <a:latin typeface="+mn-lt"/>
              <a:ea typeface="+mn-ea"/>
              <a:cs typeface="+mn-cs"/>
            </a:rPr>
            <a:t>▪ </a:t>
          </a:r>
          <a:r>
            <a:rPr lang="en-US" altLang="ko-KR" sz="1050" b="1">
              <a:solidFill>
                <a:srgbClr val="0000FF"/>
              </a:solidFill>
              <a:effectLst/>
              <a:latin typeface="+mn-lt"/>
              <a:ea typeface="+mn-ea"/>
              <a:cs typeface="+mn-cs"/>
            </a:rPr>
            <a:t>SRnD </a:t>
          </a:r>
          <a:r>
            <a:rPr lang="ko-KR" altLang="ko-KR" sz="1050" b="1">
              <a:solidFill>
                <a:srgbClr val="0000FF"/>
              </a:solidFill>
              <a:effectLst/>
              <a:latin typeface="+mn-lt"/>
              <a:ea typeface="+mn-ea"/>
              <a:cs typeface="+mn-cs"/>
            </a:rPr>
            <a:t>내과제관리</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지출신청</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수당</a:t>
          </a:r>
          <a:endParaRPr lang="en-US" altLang="ko-KR" sz="1050" b="1">
            <a:solidFill>
              <a:srgbClr val="0000FF"/>
            </a:solidFill>
            <a:effectLst/>
            <a:latin typeface="+mn-lt"/>
            <a:ea typeface="+mn-ea"/>
            <a:cs typeface="+mn-cs"/>
          </a:endParaRPr>
        </a:p>
      </xdr:txBody>
    </xdr:sp>
    <xdr:clientData/>
  </xdr:twoCellAnchor>
  <xdr:twoCellAnchor>
    <xdr:from>
      <xdr:col>14</xdr:col>
      <xdr:colOff>60135</xdr:colOff>
      <xdr:row>48</xdr:row>
      <xdr:rowOff>76200</xdr:rowOff>
    </xdr:from>
    <xdr:to>
      <xdr:col>16</xdr:col>
      <xdr:colOff>396510</xdr:colOff>
      <xdr:row>51</xdr:row>
      <xdr:rowOff>156863</xdr:rowOff>
    </xdr:to>
    <xdr:sp macro="" textlink="">
      <xdr:nvSpPr>
        <xdr:cNvPr id="29" name="사각형: 둥근 모서리 28">
          <a:extLst>
            <a:ext uri="{FF2B5EF4-FFF2-40B4-BE49-F238E27FC236}">
              <a16:creationId xmlns:a16="http://schemas.microsoft.com/office/drawing/2014/main" id="{00000000-0008-0000-0000-00001D000000}"/>
            </a:ext>
          </a:extLst>
        </xdr:cNvPr>
        <xdr:cNvSpPr/>
      </xdr:nvSpPr>
      <xdr:spPr>
        <a:xfrm>
          <a:off x="11990198" y="11625263"/>
          <a:ext cx="1908000" cy="7236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사용내역서 출력 및 증빙서류 제출</a:t>
          </a:r>
          <a:endParaRPr lang="ko-KR" altLang="en-US" sz="1050" b="1" u="sng">
            <a:solidFill>
              <a:srgbClr val="0000FF"/>
            </a:solidFill>
          </a:endParaRPr>
        </a:p>
      </xdr:txBody>
    </xdr:sp>
    <xdr:clientData/>
  </xdr:twoCellAnchor>
  <xdr:twoCellAnchor>
    <xdr:from>
      <xdr:col>17</xdr:col>
      <xdr:colOff>35158</xdr:colOff>
      <xdr:row>48</xdr:row>
      <xdr:rowOff>76200</xdr:rowOff>
    </xdr:from>
    <xdr:to>
      <xdr:col>18</xdr:col>
      <xdr:colOff>590551</xdr:colOff>
      <xdr:row>51</xdr:row>
      <xdr:rowOff>156863</xdr:rowOff>
    </xdr:to>
    <xdr:sp macro="" textlink="">
      <xdr:nvSpPr>
        <xdr:cNvPr id="30" name="사각형: 둥근 모서리 29">
          <a:extLst>
            <a:ext uri="{FF2B5EF4-FFF2-40B4-BE49-F238E27FC236}">
              <a16:creationId xmlns:a16="http://schemas.microsoft.com/office/drawing/2014/main" id="{00000000-0008-0000-0000-00001E000000}"/>
            </a:ext>
          </a:extLst>
        </xdr:cNvPr>
        <xdr:cNvSpPr/>
      </xdr:nvSpPr>
      <xdr:spPr>
        <a:xfrm>
          <a:off x="14322658" y="11625263"/>
          <a:ext cx="1245956" cy="7236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none"/>
            <a:t>연구수당 지급</a:t>
          </a:r>
        </a:p>
      </xdr:txBody>
    </xdr:sp>
    <xdr:clientData/>
  </xdr:twoCellAnchor>
  <xdr:twoCellAnchor>
    <xdr:from>
      <xdr:col>0</xdr:col>
      <xdr:colOff>202405</xdr:colOff>
      <xdr:row>63</xdr:row>
      <xdr:rowOff>66675</xdr:rowOff>
    </xdr:from>
    <xdr:to>
      <xdr:col>3</xdr:col>
      <xdr:colOff>595312</xdr:colOff>
      <xdr:row>66</xdr:row>
      <xdr:rowOff>148500</xdr:rowOff>
    </xdr:to>
    <xdr:sp macro="" textlink="">
      <xdr:nvSpPr>
        <xdr:cNvPr id="33" name="사각형: 둥근 모서리 32">
          <a:extLst>
            <a:ext uri="{FF2B5EF4-FFF2-40B4-BE49-F238E27FC236}">
              <a16:creationId xmlns:a16="http://schemas.microsoft.com/office/drawing/2014/main" id="{00000000-0008-0000-0000-000021000000}"/>
            </a:ext>
          </a:extLst>
        </xdr:cNvPr>
        <xdr:cNvSpPr/>
      </xdr:nvSpPr>
      <xdr:spPr>
        <a:xfrm>
          <a:off x="202405" y="14878050"/>
          <a:ext cx="2988470" cy="724763"/>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 입력</a:t>
          </a:r>
          <a:endParaRPr lang="en-US" altLang="ko-KR" sz="1100" b="1" u="sng"/>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100" b="1">
              <a:solidFill>
                <a:srgbClr val="0000FF"/>
              </a:solidFill>
              <a:effectLst/>
              <a:latin typeface="+mn-lt"/>
              <a:ea typeface="+mn-ea"/>
              <a:cs typeface="+mn-cs"/>
            </a:rPr>
            <a:t>▪ </a:t>
          </a:r>
          <a:r>
            <a:rPr lang="en-US" altLang="ko-KR" sz="1050" b="1">
              <a:solidFill>
                <a:srgbClr val="0000FF"/>
              </a:solidFill>
              <a:effectLst/>
              <a:latin typeface="+mn-lt"/>
              <a:ea typeface="+mn-ea"/>
              <a:cs typeface="+mn-cs"/>
            </a:rPr>
            <a:t>SRnD </a:t>
          </a:r>
          <a:r>
            <a:rPr lang="ko-KR" altLang="ko-KR" sz="1050" b="1">
              <a:solidFill>
                <a:srgbClr val="0000FF"/>
              </a:solidFill>
              <a:effectLst/>
              <a:latin typeface="+mn-lt"/>
              <a:ea typeface="+mn-ea"/>
              <a:cs typeface="+mn-cs"/>
            </a:rPr>
            <a:t>내과제관리</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지출신청</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식대</a:t>
          </a:r>
          <a:endParaRPr lang="en-US" altLang="ko-KR" sz="1050" b="1">
            <a:solidFill>
              <a:srgbClr val="0000FF"/>
            </a:solidFill>
            <a:effectLst/>
            <a:latin typeface="+mn-lt"/>
            <a:ea typeface="+mn-ea"/>
            <a:cs typeface="+mn-cs"/>
          </a:endParaRPr>
        </a:p>
      </xdr:txBody>
    </xdr:sp>
    <xdr:clientData/>
  </xdr:twoCellAnchor>
  <xdr:twoCellAnchor>
    <xdr:from>
      <xdr:col>4</xdr:col>
      <xdr:colOff>297349</xdr:colOff>
      <xdr:row>63</xdr:row>
      <xdr:rowOff>66675</xdr:rowOff>
    </xdr:from>
    <xdr:to>
      <xdr:col>6</xdr:col>
      <xdr:colOff>300349</xdr:colOff>
      <xdr:row>66</xdr:row>
      <xdr:rowOff>148500</xdr:rowOff>
    </xdr:to>
    <xdr:sp macro="" textlink="">
      <xdr:nvSpPr>
        <xdr:cNvPr id="34" name="사각형: 둥근 모서리 33">
          <a:extLst>
            <a:ext uri="{FF2B5EF4-FFF2-40B4-BE49-F238E27FC236}">
              <a16:creationId xmlns:a16="http://schemas.microsoft.com/office/drawing/2014/main" id="{00000000-0008-0000-0000-000022000000}"/>
            </a:ext>
          </a:extLst>
        </xdr:cNvPr>
        <xdr:cNvSpPr/>
      </xdr:nvSpPr>
      <xdr:spPr>
        <a:xfrm>
          <a:off x="3845412" y="14878050"/>
          <a:ext cx="1908000" cy="724763"/>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사용내역서 출력 및 증빙서류 제출</a:t>
          </a:r>
          <a:endParaRPr lang="ko-KR" altLang="en-US" sz="1050" b="1" u="sng">
            <a:solidFill>
              <a:srgbClr val="0000FF"/>
            </a:solidFill>
          </a:endParaRPr>
        </a:p>
      </xdr:txBody>
    </xdr:sp>
    <xdr:clientData/>
  </xdr:twoCellAnchor>
  <xdr:twoCellAnchor>
    <xdr:from>
      <xdr:col>6</xdr:col>
      <xdr:colOff>954887</xdr:colOff>
      <xdr:row>63</xdr:row>
      <xdr:rowOff>66675</xdr:rowOff>
    </xdr:from>
    <xdr:to>
      <xdr:col>7</xdr:col>
      <xdr:colOff>442920</xdr:colOff>
      <xdr:row>66</xdr:row>
      <xdr:rowOff>148500</xdr:rowOff>
    </xdr:to>
    <xdr:sp macro="" textlink="">
      <xdr:nvSpPr>
        <xdr:cNvPr id="35" name="사각형: 둥근 모서리 34">
          <a:extLst>
            <a:ext uri="{FF2B5EF4-FFF2-40B4-BE49-F238E27FC236}">
              <a16:creationId xmlns:a16="http://schemas.microsoft.com/office/drawing/2014/main" id="{00000000-0008-0000-0000-000023000000}"/>
            </a:ext>
          </a:extLst>
        </xdr:cNvPr>
        <xdr:cNvSpPr/>
      </xdr:nvSpPr>
      <xdr:spPr>
        <a:xfrm>
          <a:off x="6407950" y="14878050"/>
          <a:ext cx="1131095" cy="724763"/>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none"/>
            <a:t>식대 지급</a:t>
          </a:r>
        </a:p>
      </xdr:txBody>
    </xdr:sp>
    <xdr:clientData/>
  </xdr:twoCellAnchor>
  <xdr:twoCellAnchor>
    <xdr:from>
      <xdr:col>9</xdr:col>
      <xdr:colOff>214318</xdr:colOff>
      <xdr:row>63</xdr:row>
      <xdr:rowOff>85723</xdr:rowOff>
    </xdr:from>
    <xdr:to>
      <xdr:col>13</xdr:col>
      <xdr:colOff>440532</xdr:colOff>
      <xdr:row>66</xdr:row>
      <xdr:rowOff>166385</xdr:rowOff>
    </xdr:to>
    <xdr:sp macro="" textlink="">
      <xdr:nvSpPr>
        <xdr:cNvPr id="38" name="사각형: 둥근 모서리 37">
          <a:extLst>
            <a:ext uri="{FF2B5EF4-FFF2-40B4-BE49-F238E27FC236}">
              <a16:creationId xmlns:a16="http://schemas.microsoft.com/office/drawing/2014/main" id="{00000000-0008-0000-0000-000026000000}"/>
            </a:ext>
          </a:extLst>
        </xdr:cNvPr>
        <xdr:cNvSpPr/>
      </xdr:nvSpPr>
      <xdr:spPr>
        <a:xfrm>
          <a:off x="8691568" y="14897098"/>
          <a:ext cx="2988464" cy="7236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 입력</a:t>
          </a:r>
          <a:endParaRPr lang="en-US" altLang="ko-KR" sz="1100" b="1" u="sng"/>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100" b="1">
              <a:solidFill>
                <a:srgbClr val="0000FF"/>
              </a:solidFill>
              <a:effectLst/>
              <a:latin typeface="+mn-lt"/>
              <a:ea typeface="+mn-ea"/>
              <a:cs typeface="+mn-cs"/>
            </a:rPr>
            <a:t>▪ </a:t>
          </a:r>
          <a:r>
            <a:rPr lang="en-US" altLang="ko-KR" sz="1050" b="1">
              <a:solidFill>
                <a:srgbClr val="0000FF"/>
              </a:solidFill>
              <a:effectLst/>
              <a:latin typeface="+mn-lt"/>
              <a:ea typeface="+mn-ea"/>
              <a:cs typeface="+mn-cs"/>
            </a:rPr>
            <a:t>SRnD </a:t>
          </a:r>
          <a:r>
            <a:rPr lang="ko-KR" altLang="ko-KR" sz="1050" b="1">
              <a:solidFill>
                <a:srgbClr val="0000FF"/>
              </a:solidFill>
              <a:effectLst/>
              <a:latin typeface="+mn-lt"/>
              <a:ea typeface="+mn-ea"/>
              <a:cs typeface="+mn-cs"/>
            </a:rPr>
            <a:t>내과제관리</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지출신청</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전문가활용비</a:t>
          </a:r>
          <a:endParaRPr lang="en-US" altLang="ko-KR" sz="1050" b="1">
            <a:solidFill>
              <a:srgbClr val="0000FF"/>
            </a:solidFill>
            <a:effectLst/>
            <a:latin typeface="+mn-lt"/>
            <a:ea typeface="+mn-ea"/>
            <a:cs typeface="+mn-cs"/>
          </a:endParaRPr>
        </a:p>
      </xdr:txBody>
    </xdr:sp>
    <xdr:clientData/>
  </xdr:twoCellAnchor>
  <xdr:twoCellAnchor>
    <xdr:from>
      <xdr:col>14</xdr:col>
      <xdr:colOff>143757</xdr:colOff>
      <xdr:row>63</xdr:row>
      <xdr:rowOff>85723</xdr:rowOff>
    </xdr:from>
    <xdr:to>
      <xdr:col>16</xdr:col>
      <xdr:colOff>480132</xdr:colOff>
      <xdr:row>66</xdr:row>
      <xdr:rowOff>166385</xdr:rowOff>
    </xdr:to>
    <xdr:sp macro="" textlink="">
      <xdr:nvSpPr>
        <xdr:cNvPr id="39" name="사각형: 둥근 모서리 38">
          <a:extLst>
            <a:ext uri="{FF2B5EF4-FFF2-40B4-BE49-F238E27FC236}">
              <a16:creationId xmlns:a16="http://schemas.microsoft.com/office/drawing/2014/main" id="{00000000-0008-0000-0000-000027000000}"/>
            </a:ext>
          </a:extLst>
        </xdr:cNvPr>
        <xdr:cNvSpPr/>
      </xdr:nvSpPr>
      <xdr:spPr>
        <a:xfrm>
          <a:off x="12073820" y="14897098"/>
          <a:ext cx="1908000" cy="7236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사용내역서 출력 및 증빙서류 제출</a:t>
          </a:r>
          <a:endParaRPr lang="ko-KR" altLang="en-US" sz="1050" b="1" u="sng">
            <a:solidFill>
              <a:srgbClr val="0000FF"/>
            </a:solidFill>
          </a:endParaRPr>
        </a:p>
      </xdr:txBody>
    </xdr:sp>
    <xdr:clientData/>
  </xdr:twoCellAnchor>
  <xdr:twoCellAnchor>
    <xdr:from>
      <xdr:col>17</xdr:col>
      <xdr:colOff>88107</xdr:colOff>
      <xdr:row>63</xdr:row>
      <xdr:rowOff>85723</xdr:rowOff>
    </xdr:from>
    <xdr:to>
      <xdr:col>18</xdr:col>
      <xdr:colOff>590551</xdr:colOff>
      <xdr:row>66</xdr:row>
      <xdr:rowOff>166385</xdr:rowOff>
    </xdr:to>
    <xdr:sp macro="" textlink="">
      <xdr:nvSpPr>
        <xdr:cNvPr id="40" name="사각형: 둥근 모서리 39">
          <a:extLst>
            <a:ext uri="{FF2B5EF4-FFF2-40B4-BE49-F238E27FC236}">
              <a16:creationId xmlns:a16="http://schemas.microsoft.com/office/drawing/2014/main" id="{00000000-0008-0000-0000-000028000000}"/>
            </a:ext>
          </a:extLst>
        </xdr:cNvPr>
        <xdr:cNvSpPr/>
      </xdr:nvSpPr>
      <xdr:spPr>
        <a:xfrm>
          <a:off x="14375607" y="14897098"/>
          <a:ext cx="1193007" cy="7236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none"/>
            <a:t>전문가</a:t>
          </a:r>
          <a:endParaRPr lang="en-US" altLang="ko-KR" sz="1100" b="1" u="none"/>
        </a:p>
        <a:p>
          <a:pPr algn="ctr"/>
          <a:r>
            <a:rPr lang="ko-KR" altLang="en-US" sz="1100" b="1" u="none"/>
            <a:t>활용비 지급</a:t>
          </a:r>
        </a:p>
      </xdr:txBody>
    </xdr:sp>
    <xdr:clientData/>
  </xdr:twoCellAnchor>
  <xdr:twoCellAnchor>
    <xdr:from>
      <xdr:col>9</xdr:col>
      <xdr:colOff>214317</xdr:colOff>
      <xdr:row>76</xdr:row>
      <xdr:rowOff>104773</xdr:rowOff>
    </xdr:from>
    <xdr:to>
      <xdr:col>14</xdr:col>
      <xdr:colOff>35717</xdr:colOff>
      <xdr:row>80</xdr:row>
      <xdr:rowOff>158323</xdr:rowOff>
    </xdr:to>
    <xdr:sp macro="" textlink="">
      <xdr:nvSpPr>
        <xdr:cNvPr id="43" name="사각형: 둥근 모서리 42">
          <a:extLst>
            <a:ext uri="{FF2B5EF4-FFF2-40B4-BE49-F238E27FC236}">
              <a16:creationId xmlns:a16="http://schemas.microsoft.com/office/drawing/2014/main" id="{00000000-0008-0000-0000-00002B000000}"/>
            </a:ext>
          </a:extLst>
        </xdr:cNvPr>
        <xdr:cNvSpPr/>
      </xdr:nvSpPr>
      <xdr:spPr>
        <a:xfrm>
          <a:off x="8691567" y="17749836"/>
          <a:ext cx="3274213" cy="9108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 입력</a:t>
          </a:r>
          <a:endParaRPr lang="en-US" altLang="ko-KR" sz="1100" b="1" u="sng"/>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100" b="1">
              <a:solidFill>
                <a:srgbClr val="0000FF"/>
              </a:solidFill>
              <a:effectLst/>
              <a:latin typeface="+mn-lt"/>
              <a:ea typeface="+mn-ea"/>
              <a:cs typeface="+mn-cs"/>
            </a:rPr>
            <a:t>▪ </a:t>
          </a:r>
          <a:r>
            <a:rPr lang="en-US" altLang="ko-KR" sz="1050" b="1">
              <a:solidFill>
                <a:srgbClr val="0000FF"/>
              </a:solidFill>
              <a:effectLst/>
              <a:latin typeface="+mn-lt"/>
              <a:ea typeface="+mn-ea"/>
              <a:cs typeface="+mn-cs"/>
            </a:rPr>
            <a:t>SRnD </a:t>
          </a:r>
          <a:r>
            <a:rPr lang="ko-KR" altLang="ko-KR" sz="1050" b="1">
              <a:solidFill>
                <a:srgbClr val="0000FF"/>
              </a:solidFill>
              <a:effectLst/>
              <a:latin typeface="+mn-lt"/>
              <a:ea typeface="+mn-ea"/>
              <a:cs typeface="+mn-cs"/>
            </a:rPr>
            <a:t>내과제관리</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지출신청</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학술행사등록</a:t>
          </a:r>
          <a:endParaRPr lang="en-US" altLang="ko-KR" sz="1050" b="1">
            <a:solidFill>
              <a:srgbClr val="0000FF"/>
            </a:solidFill>
            <a:effectLst/>
            <a:latin typeface="+mn-lt"/>
            <a:ea typeface="+mn-ea"/>
            <a:cs typeface="+mn-cs"/>
          </a:endParaRPr>
        </a:p>
        <a:p>
          <a:pPr algn="ctr" eaLnBrk="1" fontAlgn="auto" latinLnBrk="0" hangingPunct="1"/>
          <a:r>
            <a:rPr lang="en-US" altLang="ko-KR" sz="1100" b="1">
              <a:solidFill>
                <a:srgbClr val="0000FF"/>
              </a:solidFill>
              <a:effectLst/>
              <a:latin typeface="+mn-lt"/>
              <a:ea typeface="+mn-ea"/>
              <a:cs typeface="+mn-cs"/>
            </a:rPr>
            <a:t>▪ </a:t>
          </a:r>
          <a:r>
            <a:rPr lang="en-US" altLang="ko-KR" sz="1050" b="1">
              <a:solidFill>
                <a:srgbClr val="0000FF"/>
              </a:solidFill>
              <a:effectLst/>
              <a:latin typeface="+mn-lt"/>
              <a:ea typeface="+mn-ea"/>
              <a:cs typeface="+mn-cs"/>
            </a:rPr>
            <a:t>SRnD </a:t>
          </a:r>
          <a:r>
            <a:rPr lang="ko-KR" altLang="ko-KR" sz="1050" b="1">
              <a:solidFill>
                <a:srgbClr val="0000FF"/>
              </a:solidFill>
              <a:effectLst/>
              <a:latin typeface="+mn-lt"/>
              <a:ea typeface="+mn-ea"/>
              <a:cs typeface="+mn-cs"/>
            </a:rPr>
            <a:t>내과제관리</a:t>
          </a:r>
          <a:r>
            <a:rPr lang="en-US" altLang="ko-KR" sz="1050" b="1">
              <a:solidFill>
                <a:srgbClr val="0000FF"/>
              </a:solidFill>
              <a:effectLst/>
              <a:latin typeface="+mn-lt"/>
              <a:ea typeface="+mn-ea"/>
              <a:cs typeface="+mn-cs"/>
            </a:rPr>
            <a:t>&gt;</a:t>
          </a:r>
          <a:r>
            <a:rPr lang="ko-KR" altLang="ko-KR" sz="1050" b="1">
              <a:solidFill>
                <a:srgbClr val="0000FF"/>
              </a:solidFill>
              <a:effectLst/>
              <a:latin typeface="+mn-lt"/>
              <a:ea typeface="+mn-ea"/>
              <a:cs typeface="+mn-cs"/>
            </a:rPr>
            <a:t>지출신청</a:t>
          </a:r>
          <a:r>
            <a:rPr lang="en-US" altLang="ko-KR" sz="1050" b="1">
              <a:solidFill>
                <a:srgbClr val="0000FF"/>
              </a:solidFill>
              <a:effectLst/>
              <a:latin typeface="+mn-lt"/>
              <a:ea typeface="+mn-ea"/>
              <a:cs typeface="+mn-cs"/>
            </a:rPr>
            <a:t>&gt;</a:t>
          </a:r>
          <a:r>
            <a:rPr lang="ko-KR" altLang="ko-KR" sz="1050" b="1">
              <a:solidFill>
                <a:srgbClr val="0000FF"/>
              </a:solidFill>
              <a:effectLst/>
              <a:latin typeface="+mn-lt"/>
              <a:ea typeface="+mn-ea"/>
              <a:cs typeface="+mn-cs"/>
            </a:rPr>
            <a:t>도서구매</a:t>
          </a:r>
          <a:endParaRPr lang="ko-KR" altLang="ko-KR" sz="1050">
            <a:solidFill>
              <a:srgbClr val="0000FF"/>
            </a:solidFill>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n-US" altLang="ko-KR" sz="1050" b="1">
            <a:solidFill>
              <a:srgbClr val="0000FF"/>
            </a:solidFill>
            <a:effectLst/>
            <a:latin typeface="+mn-lt"/>
            <a:ea typeface="+mn-ea"/>
            <a:cs typeface="+mn-cs"/>
          </a:endParaRPr>
        </a:p>
      </xdr:txBody>
    </xdr:sp>
    <xdr:clientData/>
  </xdr:twoCellAnchor>
  <xdr:twoCellAnchor>
    <xdr:from>
      <xdr:col>14</xdr:col>
      <xdr:colOff>300477</xdr:colOff>
      <xdr:row>76</xdr:row>
      <xdr:rowOff>104773</xdr:rowOff>
    </xdr:from>
    <xdr:to>
      <xdr:col>16</xdr:col>
      <xdr:colOff>442472</xdr:colOff>
      <xdr:row>80</xdr:row>
      <xdr:rowOff>158323</xdr:rowOff>
    </xdr:to>
    <xdr:sp macro="" textlink="">
      <xdr:nvSpPr>
        <xdr:cNvPr id="44" name="사각형: 둥근 모서리 43">
          <a:extLst>
            <a:ext uri="{FF2B5EF4-FFF2-40B4-BE49-F238E27FC236}">
              <a16:creationId xmlns:a16="http://schemas.microsoft.com/office/drawing/2014/main" id="{00000000-0008-0000-0000-00002C000000}"/>
            </a:ext>
          </a:extLst>
        </xdr:cNvPr>
        <xdr:cNvSpPr/>
      </xdr:nvSpPr>
      <xdr:spPr>
        <a:xfrm>
          <a:off x="12230540" y="17749836"/>
          <a:ext cx="1713620" cy="9108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사용내역서 출력 및 증빙서류 제출</a:t>
          </a:r>
          <a:endParaRPr lang="ko-KR" altLang="en-US" sz="1050" b="1" u="sng">
            <a:solidFill>
              <a:srgbClr val="0000FF"/>
            </a:solidFill>
          </a:endParaRPr>
        </a:p>
      </xdr:txBody>
    </xdr:sp>
    <xdr:clientData/>
  </xdr:twoCellAnchor>
  <xdr:twoCellAnchor>
    <xdr:from>
      <xdr:col>16</xdr:col>
      <xdr:colOff>707231</xdr:colOff>
      <xdr:row>76</xdr:row>
      <xdr:rowOff>104773</xdr:rowOff>
    </xdr:from>
    <xdr:to>
      <xdr:col>18</xdr:col>
      <xdr:colOff>590551</xdr:colOff>
      <xdr:row>80</xdr:row>
      <xdr:rowOff>158323</xdr:rowOff>
    </xdr:to>
    <xdr:sp macro="" textlink="">
      <xdr:nvSpPr>
        <xdr:cNvPr id="45" name="사각형: 둥근 모서리 44">
          <a:extLst>
            <a:ext uri="{FF2B5EF4-FFF2-40B4-BE49-F238E27FC236}">
              <a16:creationId xmlns:a16="http://schemas.microsoft.com/office/drawing/2014/main" id="{00000000-0008-0000-0000-00002D000000}"/>
            </a:ext>
          </a:extLst>
        </xdr:cNvPr>
        <xdr:cNvSpPr/>
      </xdr:nvSpPr>
      <xdr:spPr>
        <a:xfrm>
          <a:off x="14208919" y="17749836"/>
          <a:ext cx="1359695" cy="9108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none"/>
            <a:t>학회등록비</a:t>
          </a:r>
          <a:r>
            <a:rPr lang="ko-KR" altLang="en-US" sz="1100" b="1" i="0" u="none" strike="noStrike">
              <a:solidFill>
                <a:schemeClr val="dk1"/>
              </a:solidFill>
              <a:effectLst/>
              <a:latin typeface="+mn-lt"/>
              <a:ea typeface="+mn-ea"/>
              <a:cs typeface="+mn-cs"/>
            </a:rPr>
            <a:t>　</a:t>
          </a:r>
          <a:r>
            <a:rPr lang="ko-KR" altLang="en-US"/>
            <a:t> </a:t>
          </a:r>
          <a:r>
            <a:rPr lang="ko-KR" altLang="en-US" sz="1100" b="1" i="0" u="none" strike="noStrike">
              <a:solidFill>
                <a:schemeClr val="dk1"/>
              </a:solidFill>
              <a:effectLst/>
              <a:latin typeface="+mn-lt"/>
              <a:ea typeface="+mn-ea"/>
              <a:cs typeface="+mn-cs"/>
            </a:rPr>
            <a:t>　</a:t>
          </a:r>
          <a:r>
            <a:rPr lang="ko-KR" altLang="en-US"/>
            <a:t> </a:t>
          </a:r>
          <a:r>
            <a:rPr lang="ko-KR" altLang="en-US" sz="1100" b="1" i="0" u="none" strike="noStrike">
              <a:solidFill>
                <a:schemeClr val="dk1"/>
              </a:solidFill>
              <a:effectLst/>
              <a:latin typeface="+mn-lt"/>
              <a:ea typeface="+mn-ea"/>
              <a:cs typeface="+mn-cs"/>
            </a:rPr>
            <a:t>　</a:t>
          </a:r>
          <a:r>
            <a:rPr lang="ko-KR" altLang="en-US"/>
            <a:t> </a:t>
          </a:r>
          <a:r>
            <a:rPr lang="ko-KR" altLang="en-US" sz="1100" b="1" i="0" u="none" strike="noStrike">
              <a:solidFill>
                <a:schemeClr val="dk1"/>
              </a:solidFill>
              <a:effectLst/>
              <a:latin typeface="+mn-lt"/>
              <a:ea typeface="+mn-ea"/>
              <a:cs typeface="+mn-cs"/>
            </a:rPr>
            <a:t>　</a:t>
          </a:r>
          <a:r>
            <a:rPr lang="ko-KR" altLang="en-US"/>
            <a:t> </a:t>
          </a:r>
          <a:r>
            <a:rPr lang="ko-KR" altLang="en-US" sz="1100" b="1" i="0" u="none" strike="noStrike">
              <a:solidFill>
                <a:schemeClr val="dk1"/>
              </a:solidFill>
              <a:effectLst/>
              <a:latin typeface="+mn-lt"/>
              <a:ea typeface="+mn-ea"/>
              <a:cs typeface="+mn-cs"/>
            </a:rPr>
            <a:t>　</a:t>
          </a:r>
          <a:r>
            <a:rPr lang="ko-KR" altLang="en-US"/>
            <a:t> </a:t>
          </a:r>
          <a:r>
            <a:rPr lang="ko-KR" altLang="en-US" sz="1100" b="1" i="0" u="none" strike="noStrike">
              <a:solidFill>
                <a:schemeClr val="dk1"/>
              </a:solidFill>
              <a:effectLst/>
              <a:latin typeface="+mn-lt"/>
              <a:ea typeface="+mn-ea"/>
              <a:cs typeface="+mn-cs"/>
            </a:rPr>
            <a:t>　</a:t>
          </a:r>
          <a:r>
            <a:rPr lang="ko-KR" altLang="en-US"/>
            <a:t> </a:t>
          </a:r>
          <a:r>
            <a:rPr lang="ko-KR" altLang="en-US" sz="1100" b="1" i="0" u="none" strike="noStrike">
              <a:solidFill>
                <a:schemeClr val="dk1"/>
              </a:solidFill>
              <a:effectLst/>
              <a:latin typeface="+mn-lt"/>
              <a:ea typeface="+mn-ea"/>
              <a:cs typeface="+mn-cs"/>
            </a:rPr>
            <a:t>　</a:t>
          </a:r>
          <a:r>
            <a:rPr lang="ko-KR" altLang="en-US"/>
            <a:t> </a:t>
          </a:r>
          <a:r>
            <a:rPr lang="ko-KR" altLang="en-US" sz="1100" b="1" i="0" u="none" strike="noStrike">
              <a:solidFill>
                <a:schemeClr val="dk1"/>
              </a:solidFill>
              <a:effectLst/>
              <a:latin typeface="+mn-lt"/>
              <a:ea typeface="+mn-ea"/>
              <a:cs typeface="+mn-cs"/>
            </a:rPr>
            <a:t>　</a:t>
          </a:r>
          <a:r>
            <a:rPr lang="ko-KR" altLang="en-US"/>
            <a:t> </a:t>
          </a:r>
          <a:r>
            <a:rPr lang="ko-KR" altLang="en-US" sz="1100" b="1" i="0" u="none" strike="noStrike">
              <a:solidFill>
                <a:schemeClr val="dk1"/>
              </a:solidFill>
              <a:effectLst/>
              <a:latin typeface="+mn-lt"/>
              <a:ea typeface="+mn-ea"/>
              <a:cs typeface="+mn-cs"/>
            </a:rPr>
            <a:t>　</a:t>
          </a:r>
          <a:r>
            <a:rPr lang="ko-KR" altLang="en-US"/>
            <a:t> </a:t>
          </a:r>
          <a:r>
            <a:rPr lang="ko-KR" altLang="en-US" sz="1100" b="1" u="none"/>
            <a:t>도서구입비 지급</a:t>
          </a:r>
        </a:p>
      </xdr:txBody>
    </xdr:sp>
    <xdr:clientData/>
  </xdr:twoCellAnchor>
  <xdr:twoCellAnchor>
    <xdr:from>
      <xdr:col>0</xdr:col>
      <xdr:colOff>202406</xdr:colOff>
      <xdr:row>76</xdr:row>
      <xdr:rowOff>76200</xdr:rowOff>
    </xdr:from>
    <xdr:to>
      <xdr:col>3</xdr:col>
      <xdr:colOff>500063</xdr:colOff>
      <xdr:row>79</xdr:row>
      <xdr:rowOff>158025</xdr:rowOff>
    </xdr:to>
    <xdr:sp macro="" textlink="">
      <xdr:nvSpPr>
        <xdr:cNvPr id="48" name="사각형: 둥근 모서리 27">
          <a:extLst>
            <a:ext uri="{FF2B5EF4-FFF2-40B4-BE49-F238E27FC236}">
              <a16:creationId xmlns:a16="http://schemas.microsoft.com/office/drawing/2014/main" id="{00000000-0008-0000-0000-000030000000}"/>
            </a:ext>
          </a:extLst>
        </xdr:cNvPr>
        <xdr:cNvSpPr/>
      </xdr:nvSpPr>
      <xdr:spPr>
        <a:xfrm>
          <a:off x="202406" y="17506950"/>
          <a:ext cx="2893220" cy="724763"/>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 입력</a:t>
          </a:r>
          <a:endParaRPr lang="en-US" altLang="ko-KR" sz="1100" b="1" u="sng"/>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100" b="1">
              <a:solidFill>
                <a:srgbClr val="0000FF"/>
              </a:solidFill>
              <a:effectLst/>
              <a:latin typeface="+mn-lt"/>
              <a:ea typeface="+mn-ea"/>
              <a:cs typeface="+mn-cs"/>
            </a:rPr>
            <a:t>▪ </a:t>
          </a:r>
          <a:r>
            <a:rPr lang="en-US" altLang="ko-KR" sz="1050" b="1">
              <a:solidFill>
                <a:srgbClr val="0000FF"/>
              </a:solidFill>
              <a:effectLst/>
              <a:latin typeface="+mn-lt"/>
              <a:ea typeface="+mn-ea"/>
              <a:cs typeface="+mn-cs"/>
            </a:rPr>
            <a:t>SRnD </a:t>
          </a:r>
          <a:r>
            <a:rPr lang="ko-KR" altLang="ko-KR" sz="1050" b="1">
              <a:solidFill>
                <a:srgbClr val="0000FF"/>
              </a:solidFill>
              <a:effectLst/>
              <a:latin typeface="+mn-lt"/>
              <a:ea typeface="+mn-ea"/>
              <a:cs typeface="+mn-cs"/>
            </a:rPr>
            <a:t>내과제관리</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지출신청</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수당</a:t>
          </a:r>
          <a:endParaRPr lang="en-US" altLang="ko-KR" sz="1050" b="1">
            <a:solidFill>
              <a:srgbClr val="0000FF"/>
            </a:solidFill>
            <a:effectLst/>
            <a:latin typeface="+mn-lt"/>
            <a:ea typeface="+mn-ea"/>
            <a:cs typeface="+mn-cs"/>
          </a:endParaRPr>
        </a:p>
      </xdr:txBody>
    </xdr:sp>
    <xdr:clientData/>
  </xdr:twoCellAnchor>
  <xdr:twoCellAnchor>
    <xdr:from>
      <xdr:col>4</xdr:col>
      <xdr:colOff>129471</xdr:colOff>
      <xdr:row>76</xdr:row>
      <xdr:rowOff>76200</xdr:rowOff>
    </xdr:from>
    <xdr:to>
      <xdr:col>6</xdr:col>
      <xdr:colOff>132471</xdr:colOff>
      <xdr:row>79</xdr:row>
      <xdr:rowOff>158025</xdr:rowOff>
    </xdr:to>
    <xdr:sp macro="" textlink="">
      <xdr:nvSpPr>
        <xdr:cNvPr id="49" name="사각형: 둥근 모서리 28">
          <a:extLst>
            <a:ext uri="{FF2B5EF4-FFF2-40B4-BE49-F238E27FC236}">
              <a16:creationId xmlns:a16="http://schemas.microsoft.com/office/drawing/2014/main" id="{00000000-0008-0000-0000-000031000000}"/>
            </a:ext>
          </a:extLst>
        </xdr:cNvPr>
        <xdr:cNvSpPr/>
      </xdr:nvSpPr>
      <xdr:spPr>
        <a:xfrm>
          <a:off x="3677534" y="17721263"/>
          <a:ext cx="1908000" cy="724762"/>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사용내역서 출력 및 증빙서류 제출</a:t>
          </a:r>
          <a:endParaRPr lang="ko-KR" altLang="en-US" sz="1050" b="1" u="sng">
            <a:solidFill>
              <a:srgbClr val="0000FF"/>
            </a:solidFill>
          </a:endParaRPr>
        </a:p>
      </xdr:txBody>
    </xdr:sp>
    <xdr:clientData/>
  </xdr:twoCellAnchor>
  <xdr:twoCellAnchor>
    <xdr:from>
      <xdr:col>6</xdr:col>
      <xdr:colOff>714379</xdr:colOff>
      <xdr:row>76</xdr:row>
      <xdr:rowOff>76200</xdr:rowOff>
    </xdr:from>
    <xdr:to>
      <xdr:col>7</xdr:col>
      <xdr:colOff>442920</xdr:colOff>
      <xdr:row>79</xdr:row>
      <xdr:rowOff>158025</xdr:rowOff>
    </xdr:to>
    <xdr:sp macro="" textlink="">
      <xdr:nvSpPr>
        <xdr:cNvPr id="50" name="사각형: 둥근 모서리 29">
          <a:extLst>
            <a:ext uri="{FF2B5EF4-FFF2-40B4-BE49-F238E27FC236}">
              <a16:creationId xmlns:a16="http://schemas.microsoft.com/office/drawing/2014/main" id="{00000000-0008-0000-0000-000032000000}"/>
            </a:ext>
          </a:extLst>
        </xdr:cNvPr>
        <xdr:cNvSpPr/>
      </xdr:nvSpPr>
      <xdr:spPr>
        <a:xfrm>
          <a:off x="6167442" y="17721263"/>
          <a:ext cx="1371603" cy="724762"/>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none"/>
            <a:t>보안수당 지급</a:t>
          </a:r>
        </a:p>
      </xdr:txBody>
    </xdr:sp>
    <xdr:clientData/>
  </xdr:twoCellAnchor>
  <xdr:twoCellAnchor>
    <xdr:from>
      <xdr:col>4</xdr:col>
      <xdr:colOff>345283</xdr:colOff>
      <xdr:row>30</xdr:row>
      <xdr:rowOff>190500</xdr:rowOff>
    </xdr:from>
    <xdr:to>
      <xdr:col>4</xdr:col>
      <xdr:colOff>554833</xdr:colOff>
      <xdr:row>32</xdr:row>
      <xdr:rowOff>7144</xdr:rowOff>
    </xdr:to>
    <xdr:sp macro="" textlink="">
      <xdr:nvSpPr>
        <xdr:cNvPr id="55" name="화살표: 갈매기형 수장 54">
          <a:extLst>
            <a:ext uri="{FF2B5EF4-FFF2-40B4-BE49-F238E27FC236}">
              <a16:creationId xmlns:a16="http://schemas.microsoft.com/office/drawing/2014/main" id="{00000000-0008-0000-0000-000037000000}"/>
            </a:ext>
          </a:extLst>
        </xdr:cNvPr>
        <xdr:cNvSpPr/>
      </xdr:nvSpPr>
      <xdr:spPr>
        <a:xfrm>
          <a:off x="3893346" y="7834313"/>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878674</xdr:colOff>
      <xdr:row>30</xdr:row>
      <xdr:rowOff>190500</xdr:rowOff>
    </xdr:from>
    <xdr:to>
      <xdr:col>6</xdr:col>
      <xdr:colOff>1088224</xdr:colOff>
      <xdr:row>32</xdr:row>
      <xdr:rowOff>7144</xdr:rowOff>
    </xdr:to>
    <xdr:sp macro="" textlink="">
      <xdr:nvSpPr>
        <xdr:cNvPr id="56" name="화살표: 갈매기형 수장 55">
          <a:extLst>
            <a:ext uri="{FF2B5EF4-FFF2-40B4-BE49-F238E27FC236}">
              <a16:creationId xmlns:a16="http://schemas.microsoft.com/office/drawing/2014/main" id="{00000000-0008-0000-0000-000038000000}"/>
            </a:ext>
          </a:extLst>
        </xdr:cNvPr>
        <xdr:cNvSpPr/>
      </xdr:nvSpPr>
      <xdr:spPr>
        <a:xfrm>
          <a:off x="6331737" y="7834313"/>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381002</xdr:colOff>
      <xdr:row>30</xdr:row>
      <xdr:rowOff>80964</xdr:rowOff>
    </xdr:from>
    <xdr:to>
      <xdr:col>13</xdr:col>
      <xdr:colOff>590552</xdr:colOff>
      <xdr:row>31</xdr:row>
      <xdr:rowOff>111921</xdr:rowOff>
    </xdr:to>
    <xdr:sp macro="" textlink="">
      <xdr:nvSpPr>
        <xdr:cNvPr id="57" name="화살표: 갈매기형 수장 56">
          <a:extLst>
            <a:ext uri="{FF2B5EF4-FFF2-40B4-BE49-F238E27FC236}">
              <a16:creationId xmlns:a16="http://schemas.microsoft.com/office/drawing/2014/main" id="{00000000-0008-0000-0000-000039000000}"/>
            </a:ext>
          </a:extLst>
        </xdr:cNvPr>
        <xdr:cNvSpPr/>
      </xdr:nvSpPr>
      <xdr:spPr>
        <a:xfrm>
          <a:off x="11620502" y="7724777"/>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676275</xdr:colOff>
      <xdr:row>30</xdr:row>
      <xdr:rowOff>80964</xdr:rowOff>
    </xdr:from>
    <xdr:to>
      <xdr:col>17</xdr:col>
      <xdr:colOff>100013</xdr:colOff>
      <xdr:row>31</xdr:row>
      <xdr:rowOff>111921</xdr:rowOff>
    </xdr:to>
    <xdr:sp macro="" textlink="">
      <xdr:nvSpPr>
        <xdr:cNvPr id="58" name="화살표: 갈매기형 수장 57">
          <a:extLst>
            <a:ext uri="{FF2B5EF4-FFF2-40B4-BE49-F238E27FC236}">
              <a16:creationId xmlns:a16="http://schemas.microsoft.com/office/drawing/2014/main" id="{00000000-0008-0000-0000-00003A000000}"/>
            </a:ext>
          </a:extLst>
        </xdr:cNvPr>
        <xdr:cNvSpPr/>
      </xdr:nvSpPr>
      <xdr:spPr>
        <a:xfrm>
          <a:off x="14177963" y="7724777"/>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xdr:col>
      <xdr:colOff>902500</xdr:colOff>
      <xdr:row>49</xdr:row>
      <xdr:rowOff>54769</xdr:rowOff>
    </xdr:from>
    <xdr:to>
      <xdr:col>4</xdr:col>
      <xdr:colOff>159550</xdr:colOff>
      <xdr:row>50</xdr:row>
      <xdr:rowOff>85725</xdr:rowOff>
    </xdr:to>
    <xdr:sp macro="" textlink="">
      <xdr:nvSpPr>
        <xdr:cNvPr id="59" name="화살표: 갈매기형 수장 58">
          <a:extLst>
            <a:ext uri="{FF2B5EF4-FFF2-40B4-BE49-F238E27FC236}">
              <a16:creationId xmlns:a16="http://schemas.microsoft.com/office/drawing/2014/main" id="{00000000-0008-0000-0000-00003B000000}"/>
            </a:ext>
          </a:extLst>
        </xdr:cNvPr>
        <xdr:cNvSpPr/>
      </xdr:nvSpPr>
      <xdr:spPr>
        <a:xfrm>
          <a:off x="3498063" y="11818144"/>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507214</xdr:colOff>
      <xdr:row>49</xdr:row>
      <xdr:rowOff>54769</xdr:rowOff>
    </xdr:from>
    <xdr:to>
      <xdr:col>6</xdr:col>
      <xdr:colOff>716764</xdr:colOff>
      <xdr:row>50</xdr:row>
      <xdr:rowOff>85725</xdr:rowOff>
    </xdr:to>
    <xdr:sp macro="" textlink="">
      <xdr:nvSpPr>
        <xdr:cNvPr id="60" name="화살표: 갈매기형 수장 59">
          <a:extLst>
            <a:ext uri="{FF2B5EF4-FFF2-40B4-BE49-F238E27FC236}">
              <a16:creationId xmlns:a16="http://schemas.microsoft.com/office/drawing/2014/main" id="{00000000-0008-0000-0000-00003C000000}"/>
            </a:ext>
          </a:extLst>
        </xdr:cNvPr>
        <xdr:cNvSpPr/>
      </xdr:nvSpPr>
      <xdr:spPr>
        <a:xfrm>
          <a:off x="5960277" y="11818144"/>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xdr:col>
      <xdr:colOff>828688</xdr:colOff>
      <xdr:row>64</xdr:row>
      <xdr:rowOff>88106</xdr:rowOff>
    </xdr:from>
    <xdr:to>
      <xdr:col>4</xdr:col>
      <xdr:colOff>85738</xdr:colOff>
      <xdr:row>65</xdr:row>
      <xdr:rowOff>119063</xdr:rowOff>
    </xdr:to>
    <xdr:sp macro="" textlink="">
      <xdr:nvSpPr>
        <xdr:cNvPr id="61" name="화살표: 갈매기형 수장 60">
          <a:extLst>
            <a:ext uri="{FF2B5EF4-FFF2-40B4-BE49-F238E27FC236}">
              <a16:creationId xmlns:a16="http://schemas.microsoft.com/office/drawing/2014/main" id="{00000000-0008-0000-0000-00003D000000}"/>
            </a:ext>
          </a:extLst>
        </xdr:cNvPr>
        <xdr:cNvSpPr/>
      </xdr:nvSpPr>
      <xdr:spPr>
        <a:xfrm>
          <a:off x="3424251" y="15113794"/>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516740</xdr:colOff>
      <xdr:row>64</xdr:row>
      <xdr:rowOff>88106</xdr:rowOff>
    </xdr:from>
    <xdr:to>
      <xdr:col>6</xdr:col>
      <xdr:colOff>726290</xdr:colOff>
      <xdr:row>65</xdr:row>
      <xdr:rowOff>119063</xdr:rowOff>
    </xdr:to>
    <xdr:sp macro="" textlink="">
      <xdr:nvSpPr>
        <xdr:cNvPr id="62" name="화살표: 갈매기형 수장 61">
          <a:extLst>
            <a:ext uri="{FF2B5EF4-FFF2-40B4-BE49-F238E27FC236}">
              <a16:creationId xmlns:a16="http://schemas.microsoft.com/office/drawing/2014/main" id="{00000000-0008-0000-0000-00003E000000}"/>
            </a:ext>
          </a:extLst>
        </xdr:cNvPr>
        <xdr:cNvSpPr/>
      </xdr:nvSpPr>
      <xdr:spPr>
        <a:xfrm>
          <a:off x="5969803" y="15113794"/>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xdr:col>
      <xdr:colOff>683425</xdr:colOff>
      <xdr:row>77</xdr:row>
      <xdr:rowOff>85725</xdr:rowOff>
    </xdr:from>
    <xdr:to>
      <xdr:col>3</xdr:col>
      <xdr:colOff>892975</xdr:colOff>
      <xdr:row>78</xdr:row>
      <xdr:rowOff>116682</xdr:rowOff>
    </xdr:to>
    <xdr:sp macro="" textlink="">
      <xdr:nvSpPr>
        <xdr:cNvPr id="63" name="화살표: 갈매기형 수장 62">
          <a:extLst>
            <a:ext uri="{FF2B5EF4-FFF2-40B4-BE49-F238E27FC236}">
              <a16:creationId xmlns:a16="http://schemas.microsoft.com/office/drawing/2014/main" id="{00000000-0008-0000-0000-00003F000000}"/>
            </a:ext>
          </a:extLst>
        </xdr:cNvPr>
        <xdr:cNvSpPr/>
      </xdr:nvSpPr>
      <xdr:spPr>
        <a:xfrm>
          <a:off x="3278988" y="17945100"/>
          <a:ext cx="209550" cy="245270"/>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323861</xdr:colOff>
      <xdr:row>77</xdr:row>
      <xdr:rowOff>85725</xdr:rowOff>
    </xdr:from>
    <xdr:to>
      <xdr:col>6</xdr:col>
      <xdr:colOff>533411</xdr:colOff>
      <xdr:row>78</xdr:row>
      <xdr:rowOff>116682</xdr:rowOff>
    </xdr:to>
    <xdr:sp macro="" textlink="">
      <xdr:nvSpPr>
        <xdr:cNvPr id="64" name="화살표: 갈매기형 수장 63">
          <a:extLst>
            <a:ext uri="{FF2B5EF4-FFF2-40B4-BE49-F238E27FC236}">
              <a16:creationId xmlns:a16="http://schemas.microsoft.com/office/drawing/2014/main" id="{00000000-0008-0000-0000-000040000000}"/>
            </a:ext>
          </a:extLst>
        </xdr:cNvPr>
        <xdr:cNvSpPr/>
      </xdr:nvSpPr>
      <xdr:spPr>
        <a:xfrm>
          <a:off x="5776924" y="17945100"/>
          <a:ext cx="209550" cy="245270"/>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438151</xdr:colOff>
      <xdr:row>49</xdr:row>
      <xdr:rowOff>78583</xdr:rowOff>
    </xdr:from>
    <xdr:to>
      <xdr:col>13</xdr:col>
      <xdr:colOff>647701</xdr:colOff>
      <xdr:row>50</xdr:row>
      <xdr:rowOff>109539</xdr:rowOff>
    </xdr:to>
    <xdr:sp macro="" textlink="">
      <xdr:nvSpPr>
        <xdr:cNvPr id="65" name="화살표: 갈매기형 수장 64">
          <a:extLst>
            <a:ext uri="{FF2B5EF4-FFF2-40B4-BE49-F238E27FC236}">
              <a16:creationId xmlns:a16="http://schemas.microsoft.com/office/drawing/2014/main" id="{00000000-0008-0000-0000-000041000000}"/>
            </a:ext>
          </a:extLst>
        </xdr:cNvPr>
        <xdr:cNvSpPr/>
      </xdr:nvSpPr>
      <xdr:spPr>
        <a:xfrm>
          <a:off x="11677651" y="11841958"/>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507210</xdr:colOff>
      <xdr:row>49</xdr:row>
      <xdr:rowOff>78583</xdr:rowOff>
    </xdr:from>
    <xdr:to>
      <xdr:col>16</xdr:col>
      <xdr:colOff>716760</xdr:colOff>
      <xdr:row>50</xdr:row>
      <xdr:rowOff>109539</xdr:rowOff>
    </xdr:to>
    <xdr:sp macro="" textlink="">
      <xdr:nvSpPr>
        <xdr:cNvPr id="66" name="화살표: 갈매기형 수장 65">
          <a:extLst>
            <a:ext uri="{FF2B5EF4-FFF2-40B4-BE49-F238E27FC236}">
              <a16:creationId xmlns:a16="http://schemas.microsoft.com/office/drawing/2014/main" id="{00000000-0008-0000-0000-000042000000}"/>
            </a:ext>
          </a:extLst>
        </xdr:cNvPr>
        <xdr:cNvSpPr/>
      </xdr:nvSpPr>
      <xdr:spPr>
        <a:xfrm>
          <a:off x="14008898" y="11841958"/>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547689</xdr:colOff>
      <xdr:row>64</xdr:row>
      <xdr:rowOff>71437</xdr:rowOff>
    </xdr:from>
    <xdr:to>
      <xdr:col>14</xdr:col>
      <xdr:colOff>66676</xdr:colOff>
      <xdr:row>65</xdr:row>
      <xdr:rowOff>102394</xdr:rowOff>
    </xdr:to>
    <xdr:sp macro="" textlink="">
      <xdr:nvSpPr>
        <xdr:cNvPr id="67" name="화살표: 갈매기형 수장 66">
          <a:extLst>
            <a:ext uri="{FF2B5EF4-FFF2-40B4-BE49-F238E27FC236}">
              <a16:creationId xmlns:a16="http://schemas.microsoft.com/office/drawing/2014/main" id="{00000000-0008-0000-0000-000043000000}"/>
            </a:ext>
          </a:extLst>
        </xdr:cNvPr>
        <xdr:cNvSpPr/>
      </xdr:nvSpPr>
      <xdr:spPr>
        <a:xfrm>
          <a:off x="11787189" y="15097125"/>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569124</xdr:colOff>
      <xdr:row>64</xdr:row>
      <xdr:rowOff>71437</xdr:rowOff>
    </xdr:from>
    <xdr:to>
      <xdr:col>16</xdr:col>
      <xdr:colOff>778674</xdr:colOff>
      <xdr:row>65</xdr:row>
      <xdr:rowOff>102394</xdr:rowOff>
    </xdr:to>
    <xdr:sp macro="" textlink="">
      <xdr:nvSpPr>
        <xdr:cNvPr id="68" name="화살표: 갈매기형 수장 67">
          <a:extLst>
            <a:ext uri="{FF2B5EF4-FFF2-40B4-BE49-F238E27FC236}">
              <a16:creationId xmlns:a16="http://schemas.microsoft.com/office/drawing/2014/main" id="{00000000-0008-0000-0000-000044000000}"/>
            </a:ext>
          </a:extLst>
        </xdr:cNvPr>
        <xdr:cNvSpPr/>
      </xdr:nvSpPr>
      <xdr:spPr>
        <a:xfrm>
          <a:off x="14070812" y="15097125"/>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69057</xdr:colOff>
      <xdr:row>77</xdr:row>
      <xdr:rowOff>211931</xdr:rowOff>
    </xdr:from>
    <xdr:to>
      <xdr:col>14</xdr:col>
      <xdr:colOff>278607</xdr:colOff>
      <xdr:row>79</xdr:row>
      <xdr:rowOff>28575</xdr:rowOff>
    </xdr:to>
    <xdr:sp macro="" textlink="">
      <xdr:nvSpPr>
        <xdr:cNvPr id="69" name="화살표: 갈매기형 수장 68">
          <a:extLst>
            <a:ext uri="{FF2B5EF4-FFF2-40B4-BE49-F238E27FC236}">
              <a16:creationId xmlns:a16="http://schemas.microsoft.com/office/drawing/2014/main" id="{00000000-0008-0000-0000-000045000000}"/>
            </a:ext>
          </a:extLst>
        </xdr:cNvPr>
        <xdr:cNvSpPr/>
      </xdr:nvSpPr>
      <xdr:spPr>
        <a:xfrm>
          <a:off x="11999120" y="18071306"/>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459588</xdr:colOff>
      <xdr:row>77</xdr:row>
      <xdr:rowOff>211931</xdr:rowOff>
    </xdr:from>
    <xdr:to>
      <xdr:col>16</xdr:col>
      <xdr:colOff>669138</xdr:colOff>
      <xdr:row>79</xdr:row>
      <xdr:rowOff>28575</xdr:rowOff>
    </xdr:to>
    <xdr:sp macro="" textlink="">
      <xdr:nvSpPr>
        <xdr:cNvPr id="70" name="화살표: 갈매기형 수장 69">
          <a:extLst>
            <a:ext uri="{FF2B5EF4-FFF2-40B4-BE49-F238E27FC236}">
              <a16:creationId xmlns:a16="http://schemas.microsoft.com/office/drawing/2014/main" id="{00000000-0008-0000-0000-000046000000}"/>
            </a:ext>
          </a:extLst>
        </xdr:cNvPr>
        <xdr:cNvSpPr/>
      </xdr:nvSpPr>
      <xdr:spPr>
        <a:xfrm>
          <a:off x="13961276" y="18071306"/>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270062</xdr:colOff>
      <xdr:row>0</xdr:row>
      <xdr:rowOff>302559</xdr:rowOff>
    </xdr:to>
    <xdr:sp macro="" textlink="">
      <xdr:nvSpPr>
        <xdr:cNvPr id="2" name="오각형 3">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xdr:twoCellAnchor>
    <xdr:from>
      <xdr:col>11</xdr:col>
      <xdr:colOff>9525</xdr:colOff>
      <xdr:row>0</xdr:row>
      <xdr:rowOff>0</xdr:rowOff>
    </xdr:from>
    <xdr:to>
      <xdr:col>12</xdr:col>
      <xdr:colOff>279587</xdr:colOff>
      <xdr:row>0</xdr:row>
      <xdr:rowOff>302559</xdr:rowOff>
    </xdr:to>
    <xdr:sp macro="" textlink="">
      <xdr:nvSpPr>
        <xdr:cNvPr id="3" name="오각형 3">
          <a:hlinkClick xmlns:r="http://schemas.openxmlformats.org/officeDocument/2006/relationships" r:id="rId1"/>
          <a:extLst>
            <a:ext uri="{FF2B5EF4-FFF2-40B4-BE49-F238E27FC236}">
              <a16:creationId xmlns:a16="http://schemas.microsoft.com/office/drawing/2014/main" id="{00000000-0008-0000-0100-000003000000}"/>
            </a:ext>
          </a:extLst>
        </xdr:cNvPr>
        <xdr:cNvSpPr/>
      </xdr:nvSpPr>
      <xdr:spPr>
        <a:xfrm>
          <a:off x="842010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4</xdr:col>
          <xdr:colOff>285750</xdr:colOff>
          <xdr:row>99</xdr:row>
          <xdr:rowOff>19050</xdr:rowOff>
        </xdr:from>
        <xdr:to>
          <xdr:col>6</xdr:col>
          <xdr:colOff>952500</xdr:colOff>
          <xdr:row>100</xdr:row>
          <xdr:rowOff>184150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고용계약서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96</xdr:row>
          <xdr:rowOff>19050</xdr:rowOff>
        </xdr:from>
        <xdr:to>
          <xdr:col>17</xdr:col>
          <xdr:colOff>298450</xdr:colOff>
          <xdr:row>97</xdr:row>
          <xdr:rowOff>184150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참여계약서 출력하기</a:t>
              </a:r>
            </a:p>
          </xdr:txBody>
        </xdr:sp>
        <xdr:clientData fPrintsWithSheet="0"/>
      </xdr:twoCellAnchor>
    </mc:Choice>
    <mc:Fallback/>
  </mc:AlternateContent>
  <xdr:twoCellAnchor>
    <xdr:from>
      <xdr:col>21</xdr:col>
      <xdr:colOff>0</xdr:colOff>
      <xdr:row>0</xdr:row>
      <xdr:rowOff>0</xdr:rowOff>
    </xdr:from>
    <xdr:to>
      <xdr:col>22</xdr:col>
      <xdr:colOff>270062</xdr:colOff>
      <xdr:row>0</xdr:row>
      <xdr:rowOff>302559</xdr:rowOff>
    </xdr:to>
    <xdr:sp macro="" textlink="">
      <xdr:nvSpPr>
        <xdr:cNvPr id="6" name="오각형 3">
          <a:hlinkClick xmlns:r="http://schemas.openxmlformats.org/officeDocument/2006/relationships" r:id="rId1"/>
          <a:extLst>
            <a:ext uri="{FF2B5EF4-FFF2-40B4-BE49-F238E27FC236}">
              <a16:creationId xmlns:a16="http://schemas.microsoft.com/office/drawing/2014/main" id="{00000000-0008-0000-0100-000006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24</xdr:col>
          <xdr:colOff>755650</xdr:colOff>
          <xdr:row>141</xdr:row>
          <xdr:rowOff>152400</xdr:rowOff>
        </xdr:from>
        <xdr:to>
          <xdr:col>27</xdr:col>
          <xdr:colOff>342900</xdr:colOff>
          <xdr:row>143</xdr:row>
          <xdr:rowOff>107950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고용계약서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209550</xdr:colOff>
          <xdr:row>219</xdr:row>
          <xdr:rowOff>165100</xdr:rowOff>
        </xdr:from>
        <xdr:to>
          <xdr:col>28</xdr:col>
          <xdr:colOff>660400</xdr:colOff>
          <xdr:row>221</xdr:row>
          <xdr:rowOff>114300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계약내용 고지 확인서(복수과제참여용)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323850</xdr:colOff>
          <xdr:row>182</xdr:row>
          <xdr:rowOff>95250</xdr:rowOff>
        </xdr:from>
        <xdr:to>
          <xdr:col>28</xdr:col>
          <xdr:colOff>774700</xdr:colOff>
          <xdr:row>184</xdr:row>
          <xdr:rowOff>50800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계약내용 고지 확인서(단일·다년도과제참여용)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742950</xdr:colOff>
          <xdr:row>157</xdr:row>
          <xdr:rowOff>184150</xdr:rowOff>
        </xdr:from>
        <xdr:to>
          <xdr:col>7</xdr:col>
          <xdr:colOff>336550</xdr:colOff>
          <xdr:row>159</xdr:row>
          <xdr:rowOff>107950</xdr:rowOff>
        </xdr:to>
        <xdr:sp macro="" textlink="">
          <xdr:nvSpPr>
            <xdr:cNvPr id="4109" name="Button 13" hidden="1">
              <a:extLst>
                <a:ext uri="{63B3BB69-23CF-44E3-9099-C40C66FF867C}">
                  <a14:compatExt spid="_x0000_s4109"/>
                </a:ext>
                <a:ext uri="{FF2B5EF4-FFF2-40B4-BE49-F238E27FC236}">
                  <a16:creationId xmlns:a16="http://schemas.microsoft.com/office/drawing/2014/main" id="{00000000-0008-0000-0100-00000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연구과제참여합의서 출력하기</a:t>
              </a:r>
            </a:p>
          </xdr:txBody>
        </xdr:sp>
        <xdr:clientData fPrintsWithSheet="0"/>
      </xdr:twoCellAnchor>
    </mc:Choice>
    <mc:Fallback/>
  </mc:AlternateContent>
  <xdr:twoCellAnchor>
    <xdr:from>
      <xdr:col>31</xdr:col>
      <xdr:colOff>0</xdr:colOff>
      <xdr:row>0</xdr:row>
      <xdr:rowOff>0</xdr:rowOff>
    </xdr:from>
    <xdr:to>
      <xdr:col>32</xdr:col>
      <xdr:colOff>270062</xdr:colOff>
      <xdr:row>0</xdr:row>
      <xdr:rowOff>302559</xdr:rowOff>
    </xdr:to>
    <xdr:sp macro="" textlink="">
      <xdr:nvSpPr>
        <xdr:cNvPr id="15" name="오각형 3">
          <a:hlinkClick xmlns:r="http://schemas.openxmlformats.org/officeDocument/2006/relationships" r:id="rId1"/>
          <a:extLst>
            <a:ext uri="{FF2B5EF4-FFF2-40B4-BE49-F238E27FC236}">
              <a16:creationId xmlns:a16="http://schemas.microsoft.com/office/drawing/2014/main" id="{00000000-0008-0000-0100-00000F000000}"/>
            </a:ext>
          </a:extLst>
        </xdr:cNvPr>
        <xdr:cNvSpPr/>
      </xdr:nvSpPr>
      <xdr:spPr>
        <a:xfrm>
          <a:off x="0" y="0"/>
          <a:ext cx="1270187" cy="20730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34</xdr:col>
          <xdr:colOff>755650</xdr:colOff>
          <xdr:row>140</xdr:row>
          <xdr:rowOff>152400</xdr:rowOff>
        </xdr:from>
        <xdr:to>
          <xdr:col>37</xdr:col>
          <xdr:colOff>342900</xdr:colOff>
          <xdr:row>142</xdr:row>
          <xdr:rowOff>107950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고용계약서 출력하기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270062</xdr:colOff>
      <xdr:row>0</xdr:row>
      <xdr:rowOff>302559</xdr:rowOff>
    </xdr:to>
    <xdr:sp macro="" textlink="">
      <xdr:nvSpPr>
        <xdr:cNvPr id="2" name="오각형 3">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9525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4</xdr:col>
          <xdr:colOff>285750</xdr:colOff>
          <xdr:row>117</xdr:row>
          <xdr:rowOff>19050</xdr:rowOff>
        </xdr:from>
        <xdr:to>
          <xdr:col>6</xdr:col>
          <xdr:colOff>952500</xdr:colOff>
          <xdr:row>118</xdr:row>
          <xdr:rowOff>184150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200-000001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고용계약서 출력하기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203200</xdr:colOff>
          <xdr:row>9</xdr:row>
          <xdr:rowOff>69850</xdr:rowOff>
        </xdr:from>
        <xdr:to>
          <xdr:col>12</xdr:col>
          <xdr:colOff>146050</xdr:colOff>
          <xdr:row>9</xdr:row>
          <xdr:rowOff>247650</xdr:rowOff>
        </xdr:to>
        <xdr:sp macro="" textlink="">
          <xdr:nvSpPr>
            <xdr:cNvPr id="6145" name="Check Box 1" descr="300만원 이상 2,000만원 미만 중앙구매"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900" b="0" i="0" u="none" strike="noStrike" baseline="0">
                  <a:solidFill>
                    <a:srgbClr val="000000"/>
                  </a:solidFill>
                  <a:latin typeface="굴림"/>
                  <a:ea typeface="굴림"/>
                </a:rPr>
                <a:t> 견적구매(단가 300만원 이상, 총액 2000만원 이하, VAT제외)</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203200</xdr:colOff>
          <xdr:row>10</xdr:row>
          <xdr:rowOff>57150</xdr:rowOff>
        </xdr:from>
        <xdr:to>
          <xdr:col>10</xdr:col>
          <xdr:colOff>0</xdr:colOff>
          <xdr:row>10</xdr:row>
          <xdr:rowOff>228600</xdr:rowOff>
        </xdr:to>
        <xdr:sp macro="" textlink="">
          <xdr:nvSpPr>
            <xdr:cNvPr id="6146" name="Check Box 2" descr="2,000만원 이상 공개입찰산단구매"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900" b="0" i="0" u="none" strike="noStrike" baseline="0">
                  <a:solidFill>
                    <a:srgbClr val="000000"/>
                  </a:solidFill>
                  <a:latin typeface="굴림"/>
                  <a:ea typeface="굴림"/>
                </a:rPr>
                <a:t> 공개입찰(총액 2000만원 초과, VAT제외)</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203200</xdr:colOff>
          <xdr:row>11</xdr:row>
          <xdr:rowOff>50800</xdr:rowOff>
        </xdr:from>
        <xdr:to>
          <xdr:col>11</xdr:col>
          <xdr:colOff>457200</xdr:colOff>
          <xdr:row>11</xdr:row>
          <xdr:rowOff>228600</xdr:rowOff>
        </xdr:to>
        <xdr:sp macro="" textlink="">
          <xdr:nvSpPr>
            <xdr:cNvPr id="6147" name="Check Box 3" descr="2,000만원 이상 수의계약(증빙-객관적 증빙&lt;독점계약서, 특허증 등&gt; 및 수의계약 사유서)"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900" b="0" i="0" u="none" strike="noStrike" baseline="0">
                  <a:solidFill>
                    <a:srgbClr val="000000"/>
                  </a:solidFill>
                  <a:latin typeface="굴림"/>
                  <a:ea typeface="굴림"/>
                </a:rPr>
                <a:t> 수의계약(총액 2000만원 초과, VAT제외)</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203200</xdr:colOff>
          <xdr:row>12</xdr:row>
          <xdr:rowOff>95250</xdr:rowOff>
        </xdr:from>
        <xdr:to>
          <xdr:col>6</xdr:col>
          <xdr:colOff>0</xdr:colOff>
          <xdr:row>12</xdr:row>
          <xdr:rowOff>209550</xdr:rowOff>
        </xdr:to>
        <xdr:sp macro="" textlink="">
          <xdr:nvSpPr>
            <xdr:cNvPr id="6148" name="Check Box 4" descr="내자"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900" b="0" i="0" u="none" strike="noStrike" baseline="0">
                  <a:solidFill>
                    <a:srgbClr val="000000"/>
                  </a:solidFill>
                  <a:latin typeface="굴림"/>
                  <a:ea typeface="굴림"/>
                </a:rPr>
                <a:t> 내 자</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603250</xdr:colOff>
          <xdr:row>12</xdr:row>
          <xdr:rowOff>76200</xdr:rowOff>
        </xdr:from>
        <xdr:to>
          <xdr:col>8</xdr:col>
          <xdr:colOff>571500</xdr:colOff>
          <xdr:row>12</xdr:row>
          <xdr:rowOff>260350</xdr:rowOff>
        </xdr:to>
        <xdr:sp macro="" textlink="">
          <xdr:nvSpPr>
            <xdr:cNvPr id="6149" name="Check Box 5" descr="외자"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900" b="0" i="0" u="none" strike="noStrike" baseline="0">
                  <a:solidFill>
                    <a:srgbClr val="000000"/>
                  </a:solidFill>
                  <a:latin typeface="굴림"/>
                  <a:ea typeface="굴림"/>
                </a:rPr>
                <a:t> 외 자(수입대행)</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57150</xdr:colOff>
          <xdr:row>12</xdr:row>
          <xdr:rowOff>190500</xdr:rowOff>
        </xdr:from>
        <xdr:to>
          <xdr:col>12</xdr:col>
          <xdr:colOff>203200</xdr:colOff>
          <xdr:row>12</xdr:row>
          <xdr:rowOff>393700</xdr:rowOff>
        </xdr:to>
        <xdr:sp macro="" textlink="">
          <xdr:nvSpPr>
            <xdr:cNvPr id="6150" name="Check Box 6" descr="소모품"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900" b="0" i="0" u="none" strike="noStrike" baseline="0">
                  <a:solidFill>
                    <a:srgbClr val="000000"/>
                  </a:solidFill>
                  <a:latin typeface="굴림"/>
                  <a:ea typeface="굴림"/>
                </a:rPr>
                <a:t> 소모품</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266700</xdr:colOff>
          <xdr:row>12</xdr:row>
          <xdr:rowOff>190500</xdr:rowOff>
        </xdr:from>
        <xdr:to>
          <xdr:col>13</xdr:col>
          <xdr:colOff>412750</xdr:colOff>
          <xdr:row>12</xdr:row>
          <xdr:rowOff>412750</xdr:rowOff>
        </xdr:to>
        <xdr:sp macro="" textlink="">
          <xdr:nvSpPr>
            <xdr:cNvPr id="6151" name="Check Box 7" descr="비소모품" hidden="1">
              <a:extLst>
                <a:ext uri="{63B3BB69-23CF-44E3-9099-C40C66FF867C}">
                  <a14:compatExt spid="_x0000_s6151"/>
                </a:ext>
                <a:ext uri="{FF2B5EF4-FFF2-40B4-BE49-F238E27FC236}">
                  <a16:creationId xmlns:a16="http://schemas.microsoft.com/office/drawing/2014/main" id="{00000000-0008-0000-03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900" b="0" i="0" u="none" strike="noStrike" baseline="0">
                  <a:solidFill>
                    <a:srgbClr val="000000"/>
                  </a:solidFill>
                  <a:latin typeface="굴림"/>
                  <a:ea typeface="굴림"/>
                </a:rPr>
                <a:t> 비소모품</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203200</xdr:colOff>
          <xdr:row>13</xdr:row>
          <xdr:rowOff>50800</xdr:rowOff>
        </xdr:from>
        <xdr:to>
          <xdr:col>6</xdr:col>
          <xdr:colOff>12700</xdr:colOff>
          <xdr:row>13</xdr:row>
          <xdr:rowOff>222250</xdr:rowOff>
        </xdr:to>
        <xdr:sp macro="" textlink="">
          <xdr:nvSpPr>
            <xdr:cNvPr id="6152" name="Check Box 8" descr="신규" hidden="1">
              <a:extLst>
                <a:ext uri="{63B3BB69-23CF-44E3-9099-C40C66FF867C}">
                  <a14:compatExt spid="_x0000_s6152"/>
                </a:ext>
                <a:ext uri="{FF2B5EF4-FFF2-40B4-BE49-F238E27FC236}">
                  <a16:creationId xmlns:a16="http://schemas.microsoft.com/office/drawing/2014/main" id="{00000000-0008-0000-03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900" b="0" i="0" u="none" strike="noStrike" baseline="0">
                  <a:solidFill>
                    <a:srgbClr val="000000"/>
                  </a:solidFill>
                  <a:latin typeface="굴림"/>
                  <a:ea typeface="굴림"/>
                </a:rPr>
                <a:t> 신 규</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603250</xdr:colOff>
          <xdr:row>13</xdr:row>
          <xdr:rowOff>31750</xdr:rowOff>
        </xdr:from>
        <xdr:to>
          <xdr:col>8</xdr:col>
          <xdr:colOff>88900</xdr:colOff>
          <xdr:row>13</xdr:row>
          <xdr:rowOff>241300</xdr:rowOff>
        </xdr:to>
        <xdr:sp macro="" textlink="">
          <xdr:nvSpPr>
            <xdr:cNvPr id="6153" name="Check Box 9" descr="업그레이드" hidden="1">
              <a:extLst>
                <a:ext uri="{63B3BB69-23CF-44E3-9099-C40C66FF867C}">
                  <a14:compatExt spid="_x0000_s6153"/>
                </a:ext>
                <a:ext uri="{FF2B5EF4-FFF2-40B4-BE49-F238E27FC236}">
                  <a16:creationId xmlns:a16="http://schemas.microsoft.com/office/drawing/2014/main" id="{00000000-0008-0000-03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900" b="0" i="0" u="none" strike="noStrike" baseline="0">
                  <a:solidFill>
                    <a:srgbClr val="000000"/>
                  </a:solidFill>
                  <a:latin typeface="굴림"/>
                  <a:ea typeface="굴림"/>
                </a:rPr>
                <a:t> 업그레이드</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13</xdr:row>
          <xdr:rowOff>12700</xdr:rowOff>
        </xdr:from>
        <xdr:to>
          <xdr:col>10</xdr:col>
          <xdr:colOff>0</xdr:colOff>
          <xdr:row>13</xdr:row>
          <xdr:rowOff>260350</xdr:rowOff>
        </xdr:to>
        <xdr:sp macro="" textlink="">
          <xdr:nvSpPr>
            <xdr:cNvPr id="6154" name="Check Box 10" descr="수리" hidden="1">
              <a:extLst>
                <a:ext uri="{63B3BB69-23CF-44E3-9099-C40C66FF867C}">
                  <a14:compatExt spid="_x0000_s6154"/>
                </a:ext>
                <a:ext uri="{FF2B5EF4-FFF2-40B4-BE49-F238E27FC236}">
                  <a16:creationId xmlns:a16="http://schemas.microsoft.com/office/drawing/2014/main" id="{00000000-0008-0000-03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900" b="0" i="0" u="none" strike="noStrike" baseline="0">
                  <a:solidFill>
                    <a:srgbClr val="000000"/>
                  </a:solidFill>
                  <a:latin typeface="굴림"/>
                  <a:ea typeface="굴림"/>
                </a:rPr>
                <a:t> 수 리</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57150</xdr:colOff>
          <xdr:row>13</xdr:row>
          <xdr:rowOff>31750</xdr:rowOff>
        </xdr:from>
        <xdr:to>
          <xdr:col>12</xdr:col>
          <xdr:colOff>203200</xdr:colOff>
          <xdr:row>13</xdr:row>
          <xdr:rowOff>241300</xdr:rowOff>
        </xdr:to>
        <xdr:sp macro="" textlink="">
          <xdr:nvSpPr>
            <xdr:cNvPr id="6155" name="Check Box 11" descr="유지보수" hidden="1">
              <a:extLst>
                <a:ext uri="{63B3BB69-23CF-44E3-9099-C40C66FF867C}">
                  <a14:compatExt spid="_x0000_s6155"/>
                </a:ext>
                <a:ext uri="{FF2B5EF4-FFF2-40B4-BE49-F238E27FC236}">
                  <a16:creationId xmlns:a16="http://schemas.microsoft.com/office/drawing/2014/main" id="{00000000-0008-0000-03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900" b="0" i="0" u="none" strike="noStrike" baseline="0">
                  <a:solidFill>
                    <a:srgbClr val="000000"/>
                  </a:solidFill>
                  <a:latin typeface="굴림"/>
                  <a:ea typeface="굴림"/>
                </a:rPr>
                <a:t> 유지보수</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298450</xdr:colOff>
          <xdr:row>13</xdr:row>
          <xdr:rowOff>12700</xdr:rowOff>
        </xdr:from>
        <xdr:to>
          <xdr:col>14</xdr:col>
          <xdr:colOff>438150</xdr:colOff>
          <xdr:row>13</xdr:row>
          <xdr:rowOff>266700</xdr:rowOff>
        </xdr:to>
        <xdr:sp macro="" textlink="">
          <xdr:nvSpPr>
            <xdr:cNvPr id="6156" name="Check Box 12" descr="기타" hidden="1">
              <a:extLst>
                <a:ext uri="{63B3BB69-23CF-44E3-9099-C40C66FF867C}">
                  <a14:compatExt spid="_x0000_s6156"/>
                </a:ext>
                <a:ext uri="{FF2B5EF4-FFF2-40B4-BE49-F238E27FC236}">
                  <a16:creationId xmlns:a16="http://schemas.microsoft.com/office/drawing/2014/main" id="{00000000-0008-0000-03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900" b="0" i="0" u="none" strike="noStrike" baseline="0">
                  <a:solidFill>
                    <a:srgbClr val="000000"/>
                  </a:solidFill>
                  <a:latin typeface="굴림"/>
                  <a:ea typeface="굴림"/>
                </a:rPr>
                <a:t> 기 타</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203200</xdr:colOff>
          <xdr:row>14</xdr:row>
          <xdr:rowOff>19050</xdr:rowOff>
        </xdr:from>
        <xdr:to>
          <xdr:col>6</xdr:col>
          <xdr:colOff>19050</xdr:colOff>
          <xdr:row>14</xdr:row>
          <xdr:rowOff>260350</xdr:rowOff>
        </xdr:to>
        <xdr:sp macro="" textlink="">
          <xdr:nvSpPr>
            <xdr:cNvPr id="6157" name="Check Box 13" descr="등재" hidden="1">
              <a:extLst>
                <a:ext uri="{63B3BB69-23CF-44E3-9099-C40C66FF867C}">
                  <a14:compatExt spid="_x0000_s6157"/>
                </a:ext>
                <a:ext uri="{FF2B5EF4-FFF2-40B4-BE49-F238E27FC236}">
                  <a16:creationId xmlns:a16="http://schemas.microsoft.com/office/drawing/2014/main" id="{00000000-0008-0000-03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900" b="0" i="0" u="none" strike="noStrike" baseline="0">
                  <a:solidFill>
                    <a:srgbClr val="000000"/>
                  </a:solidFill>
                  <a:latin typeface="굴림"/>
                  <a:ea typeface="굴림"/>
                </a:rPr>
                <a:t> 등 재</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603250</xdr:colOff>
          <xdr:row>14</xdr:row>
          <xdr:rowOff>19050</xdr:rowOff>
        </xdr:from>
        <xdr:to>
          <xdr:col>8</xdr:col>
          <xdr:colOff>88900</xdr:colOff>
          <xdr:row>14</xdr:row>
          <xdr:rowOff>260350</xdr:rowOff>
        </xdr:to>
        <xdr:sp macro="" textlink="">
          <xdr:nvSpPr>
            <xdr:cNvPr id="6158" name="Check Box 14" descr="비등재" hidden="1">
              <a:extLst>
                <a:ext uri="{63B3BB69-23CF-44E3-9099-C40C66FF867C}">
                  <a14:compatExt spid="_x0000_s6158"/>
                </a:ext>
                <a:ext uri="{FF2B5EF4-FFF2-40B4-BE49-F238E27FC236}">
                  <a16:creationId xmlns:a16="http://schemas.microsoft.com/office/drawing/2014/main" id="{00000000-0008-0000-03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900" b="0" i="0" u="none" strike="noStrike" baseline="0">
                  <a:solidFill>
                    <a:srgbClr val="000000"/>
                  </a:solidFill>
                  <a:latin typeface="굴림"/>
                  <a:ea typeface="굴림"/>
                </a:rPr>
                <a:t> 비등재</a:t>
              </a:r>
            </a:p>
          </xdr:txBody>
        </xdr:sp>
        <xdr:clientData fLocksWithSheet="0"/>
      </xdr:twoCellAnchor>
    </mc:Choice>
    <mc:Fallback/>
  </mc:AlternateContent>
  <xdr:twoCellAnchor>
    <xdr:from>
      <xdr:col>1</xdr:col>
      <xdr:colOff>0</xdr:colOff>
      <xdr:row>0</xdr:row>
      <xdr:rowOff>85725</xdr:rowOff>
    </xdr:from>
    <xdr:to>
      <xdr:col>3</xdr:col>
      <xdr:colOff>146237</xdr:colOff>
      <xdr:row>1</xdr:row>
      <xdr:rowOff>102534</xdr:rowOff>
    </xdr:to>
    <xdr:sp macro="" textlink="">
      <xdr:nvSpPr>
        <xdr:cNvPr id="16" name="오각형 3">
          <a:hlinkClick xmlns:r="http://schemas.openxmlformats.org/officeDocument/2006/relationships" r:id="rId1"/>
          <a:extLst>
            <a:ext uri="{FF2B5EF4-FFF2-40B4-BE49-F238E27FC236}">
              <a16:creationId xmlns:a16="http://schemas.microsoft.com/office/drawing/2014/main" id="{00000000-0008-0000-0300-000010000000}"/>
            </a:ext>
          </a:extLst>
        </xdr:cNvPr>
        <xdr:cNvSpPr/>
      </xdr:nvSpPr>
      <xdr:spPr>
        <a:xfrm>
          <a:off x="0" y="85725"/>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xdr:twoCellAnchor>
    <xdr:from>
      <xdr:col>17</xdr:col>
      <xdr:colOff>0</xdr:colOff>
      <xdr:row>0</xdr:row>
      <xdr:rowOff>152400</xdr:rowOff>
    </xdr:from>
    <xdr:to>
      <xdr:col>17</xdr:col>
      <xdr:colOff>1270187</xdr:colOff>
      <xdr:row>1</xdr:row>
      <xdr:rowOff>169209</xdr:rowOff>
    </xdr:to>
    <xdr:sp macro="" textlink="">
      <xdr:nvSpPr>
        <xdr:cNvPr id="17" name="오각형 3">
          <a:hlinkClick xmlns:r="http://schemas.openxmlformats.org/officeDocument/2006/relationships" r:id="rId1"/>
          <a:extLst>
            <a:ext uri="{FF2B5EF4-FFF2-40B4-BE49-F238E27FC236}">
              <a16:creationId xmlns:a16="http://schemas.microsoft.com/office/drawing/2014/main" id="{00000000-0008-0000-0300-000011000000}"/>
            </a:ext>
          </a:extLst>
        </xdr:cNvPr>
        <xdr:cNvSpPr/>
      </xdr:nvSpPr>
      <xdr:spPr>
        <a:xfrm>
          <a:off x="9039225" y="15240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xdr:twoCellAnchor>
    <xdr:from>
      <xdr:col>26</xdr:col>
      <xdr:colOff>47625</xdr:colOff>
      <xdr:row>0</xdr:row>
      <xdr:rowOff>133350</xdr:rowOff>
    </xdr:from>
    <xdr:to>
      <xdr:col>27</xdr:col>
      <xdr:colOff>251012</xdr:colOff>
      <xdr:row>1</xdr:row>
      <xdr:rowOff>150159</xdr:rowOff>
    </xdr:to>
    <xdr:sp macro="" textlink="">
      <xdr:nvSpPr>
        <xdr:cNvPr id="18" name="오각형 3">
          <a:hlinkClick xmlns:r="http://schemas.openxmlformats.org/officeDocument/2006/relationships" r:id="rId1"/>
          <a:extLst>
            <a:ext uri="{FF2B5EF4-FFF2-40B4-BE49-F238E27FC236}">
              <a16:creationId xmlns:a16="http://schemas.microsoft.com/office/drawing/2014/main" id="{00000000-0008-0000-0300-000012000000}"/>
            </a:ext>
          </a:extLst>
        </xdr:cNvPr>
        <xdr:cNvSpPr/>
      </xdr:nvSpPr>
      <xdr:spPr>
        <a:xfrm>
          <a:off x="15706725" y="13335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6</xdr:col>
          <xdr:colOff>184150</xdr:colOff>
          <xdr:row>31</xdr:row>
          <xdr:rowOff>203200</xdr:rowOff>
        </xdr:from>
        <xdr:to>
          <xdr:col>10</xdr:col>
          <xdr:colOff>76200</xdr:colOff>
          <xdr:row>33</xdr:row>
          <xdr:rowOff>146050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물품구매 의뢰서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781050</xdr:colOff>
          <xdr:row>32</xdr:row>
          <xdr:rowOff>19050</xdr:rowOff>
        </xdr:from>
        <xdr:to>
          <xdr:col>20</xdr:col>
          <xdr:colOff>1009650</xdr:colOff>
          <xdr:row>33</xdr:row>
          <xdr:rowOff>171450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용도설명서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971550</xdr:colOff>
          <xdr:row>32</xdr:row>
          <xdr:rowOff>0</xdr:rowOff>
        </xdr:from>
        <xdr:to>
          <xdr:col>30</xdr:col>
          <xdr:colOff>933450</xdr:colOff>
          <xdr:row>33</xdr:row>
          <xdr:rowOff>152400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300-00001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구매규격서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469900</xdr:colOff>
          <xdr:row>12</xdr:row>
          <xdr:rowOff>190500</xdr:rowOff>
        </xdr:from>
        <xdr:to>
          <xdr:col>15</xdr:col>
          <xdr:colOff>336550</xdr:colOff>
          <xdr:row>12</xdr:row>
          <xdr:rowOff>400050</xdr:rowOff>
        </xdr:to>
        <xdr:sp macro="" textlink="">
          <xdr:nvSpPr>
            <xdr:cNvPr id="6162" name="Check Box 18" descr="비소모품" hidden="1">
              <a:extLst>
                <a:ext uri="{63B3BB69-23CF-44E3-9099-C40C66FF867C}">
                  <a14:compatExt spid="_x0000_s6162"/>
                </a:ext>
                <a:ext uri="{FF2B5EF4-FFF2-40B4-BE49-F238E27FC236}">
                  <a16:creationId xmlns:a16="http://schemas.microsoft.com/office/drawing/2014/main" id="{00000000-0008-0000-03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900" b="0" i="0" u="none" strike="noStrike" baseline="0">
                  <a:solidFill>
                    <a:srgbClr val="000000"/>
                  </a:solidFill>
                  <a:latin typeface="굴림"/>
                  <a:ea typeface="굴림"/>
                </a:rPr>
                <a:t> 시제품 및 시작품</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203200</xdr:colOff>
          <xdr:row>12</xdr:row>
          <xdr:rowOff>298450</xdr:rowOff>
        </xdr:from>
        <xdr:to>
          <xdr:col>6</xdr:col>
          <xdr:colOff>590550</xdr:colOff>
          <xdr:row>12</xdr:row>
          <xdr:rowOff>495300</xdr:rowOff>
        </xdr:to>
        <xdr:sp macro="" textlink="">
          <xdr:nvSpPr>
            <xdr:cNvPr id="6164" name="Check Box 20" descr="외자" hidden="1">
              <a:extLst>
                <a:ext uri="{63B3BB69-23CF-44E3-9099-C40C66FF867C}">
                  <a14:compatExt spid="_x0000_s6164"/>
                </a:ext>
                <a:ext uri="{FF2B5EF4-FFF2-40B4-BE49-F238E27FC236}">
                  <a16:creationId xmlns:a16="http://schemas.microsoft.com/office/drawing/2014/main" id="{00000000-0008-0000-03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900" b="0" i="0" u="none" strike="noStrike" baseline="0">
                  <a:solidFill>
                    <a:srgbClr val="000000"/>
                  </a:solidFill>
                  <a:latin typeface="굴림"/>
                  <a:ea typeface="굴림"/>
                </a:rPr>
                <a:t> 외 자(관세감면)</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603250</xdr:colOff>
          <xdr:row>12</xdr:row>
          <xdr:rowOff>298450</xdr:rowOff>
        </xdr:from>
        <xdr:to>
          <xdr:col>8</xdr:col>
          <xdr:colOff>717550</xdr:colOff>
          <xdr:row>12</xdr:row>
          <xdr:rowOff>508000</xdr:rowOff>
        </xdr:to>
        <xdr:sp macro="" textlink="">
          <xdr:nvSpPr>
            <xdr:cNvPr id="6165" name="Check Box 21" descr="외자" hidden="1">
              <a:extLst>
                <a:ext uri="{63B3BB69-23CF-44E3-9099-C40C66FF867C}">
                  <a14:compatExt spid="_x0000_s6165"/>
                </a:ext>
                <a:ext uri="{FF2B5EF4-FFF2-40B4-BE49-F238E27FC236}">
                  <a16:creationId xmlns:a16="http://schemas.microsoft.com/office/drawing/2014/main"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900" b="0" i="0" u="none" strike="noStrike" baseline="0">
                  <a:solidFill>
                    <a:srgbClr val="000000"/>
                  </a:solidFill>
                  <a:latin typeface="굴림"/>
                  <a:ea typeface="굴림"/>
                </a:rPr>
                <a:t> 외 자(수입통관 없음)</a:t>
              </a:r>
            </a:p>
          </xdr:txBody>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19050</xdr:colOff>
      <xdr:row>0</xdr:row>
      <xdr:rowOff>0</xdr:rowOff>
    </xdr:from>
    <xdr:to>
      <xdr:col>11</xdr:col>
      <xdr:colOff>1289237</xdr:colOff>
      <xdr:row>0</xdr:row>
      <xdr:rowOff>302559</xdr:rowOff>
    </xdr:to>
    <xdr:sp macro="" textlink="">
      <xdr:nvSpPr>
        <xdr:cNvPr id="9" name="오각형 3">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7096125"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xdr:twoCellAnchor>
    <xdr:from>
      <xdr:col>1</xdr:col>
      <xdr:colOff>0</xdr:colOff>
      <xdr:row>0</xdr:row>
      <xdr:rowOff>0</xdr:rowOff>
    </xdr:from>
    <xdr:to>
      <xdr:col>2</xdr:col>
      <xdr:colOff>70037</xdr:colOff>
      <xdr:row>0</xdr:row>
      <xdr:rowOff>302559</xdr:rowOff>
    </xdr:to>
    <xdr:sp macro="" textlink="">
      <xdr:nvSpPr>
        <xdr:cNvPr id="10" name="오각형 3">
          <a:hlinkClick xmlns:r="http://schemas.openxmlformats.org/officeDocument/2006/relationships" r:id="rId1"/>
          <a:extLst>
            <a:ext uri="{FF2B5EF4-FFF2-40B4-BE49-F238E27FC236}">
              <a16:creationId xmlns:a16="http://schemas.microsoft.com/office/drawing/2014/main" id="{00000000-0008-0000-0400-00000A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3</xdr:col>
          <xdr:colOff>127000</xdr:colOff>
          <xdr:row>31</xdr:row>
          <xdr:rowOff>190500</xdr:rowOff>
        </xdr:from>
        <xdr:to>
          <xdr:col>6</xdr:col>
          <xdr:colOff>590550</xdr:colOff>
          <xdr:row>33</xdr:row>
          <xdr:rowOff>114300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수의계약사유서(내자)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31</xdr:row>
          <xdr:rowOff>165100</xdr:rowOff>
        </xdr:from>
        <xdr:to>
          <xdr:col>17</xdr:col>
          <xdr:colOff>31750</xdr:colOff>
          <xdr:row>33</xdr:row>
          <xdr:rowOff>114300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4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수의계약사유서(외자) 출력하기</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450850</xdr:colOff>
          <xdr:row>25</xdr:row>
          <xdr:rowOff>266700</xdr:rowOff>
        </xdr:from>
        <xdr:to>
          <xdr:col>6</xdr:col>
          <xdr:colOff>647700</xdr:colOff>
          <xdr:row>27</xdr:row>
          <xdr:rowOff>0</xdr:rowOff>
        </xdr:to>
        <xdr:sp macro="" textlink="">
          <xdr:nvSpPr>
            <xdr:cNvPr id="10241" name="Check Box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457200</xdr:colOff>
          <xdr:row>26</xdr:row>
          <xdr:rowOff>190500</xdr:rowOff>
        </xdr:from>
        <xdr:to>
          <xdr:col>6</xdr:col>
          <xdr:colOff>660400</xdr:colOff>
          <xdr:row>28</xdr:row>
          <xdr:rowOff>31750</xdr:rowOff>
        </xdr:to>
        <xdr:sp macro="" textlink="">
          <xdr:nvSpPr>
            <xdr:cNvPr id="10243" name="Check Box 3"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457200</xdr:colOff>
          <xdr:row>26</xdr:row>
          <xdr:rowOff>190500</xdr:rowOff>
        </xdr:from>
        <xdr:to>
          <xdr:col>6</xdr:col>
          <xdr:colOff>660400</xdr:colOff>
          <xdr:row>28</xdr:row>
          <xdr:rowOff>31750</xdr:rowOff>
        </xdr:to>
        <xdr:sp macro="" textlink="">
          <xdr:nvSpPr>
            <xdr:cNvPr id="10249" name="Check Box 9"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25</xdr:row>
          <xdr:rowOff>260350</xdr:rowOff>
        </xdr:from>
        <xdr:to>
          <xdr:col>11</xdr:col>
          <xdr:colOff>50800</xdr:colOff>
          <xdr:row>26</xdr:row>
          <xdr:rowOff>203200</xdr:rowOff>
        </xdr:to>
        <xdr:sp macro="" textlink="">
          <xdr:nvSpPr>
            <xdr:cNvPr id="10250" name="Check Box 10"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26</xdr:row>
          <xdr:rowOff>190500</xdr:rowOff>
        </xdr:from>
        <xdr:to>
          <xdr:col>11</xdr:col>
          <xdr:colOff>57150</xdr:colOff>
          <xdr:row>28</xdr:row>
          <xdr:rowOff>31750</xdr:rowOff>
        </xdr:to>
        <xdr:sp macro="" textlink="">
          <xdr:nvSpPr>
            <xdr:cNvPr id="10251" name="Check Box 11"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565150</xdr:colOff>
          <xdr:row>27</xdr:row>
          <xdr:rowOff>171450</xdr:rowOff>
        </xdr:from>
        <xdr:to>
          <xdr:col>30</xdr:col>
          <xdr:colOff>762000</xdr:colOff>
          <xdr:row>29</xdr:row>
          <xdr:rowOff>0</xdr:rowOff>
        </xdr:to>
        <xdr:sp macro="" textlink="">
          <xdr:nvSpPr>
            <xdr:cNvPr id="10253" name="Check Box 13" hidden="1">
              <a:extLst>
                <a:ext uri="{63B3BB69-23CF-44E3-9099-C40C66FF867C}">
                  <a14:compatExt spid="_x0000_s10253"/>
                </a:ext>
                <a:ext uri="{FF2B5EF4-FFF2-40B4-BE49-F238E27FC236}">
                  <a16:creationId xmlns:a16="http://schemas.microsoft.com/office/drawing/2014/main" id="{00000000-0008-0000-0500-00000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565150</xdr:colOff>
          <xdr:row>26</xdr:row>
          <xdr:rowOff>171450</xdr:rowOff>
        </xdr:from>
        <xdr:to>
          <xdr:col>30</xdr:col>
          <xdr:colOff>762000</xdr:colOff>
          <xdr:row>28</xdr:row>
          <xdr:rowOff>0</xdr:rowOff>
        </xdr:to>
        <xdr:sp macro="" textlink="">
          <xdr:nvSpPr>
            <xdr:cNvPr id="10254" name="Check Box 14" hidden="1">
              <a:extLst>
                <a:ext uri="{63B3BB69-23CF-44E3-9099-C40C66FF867C}">
                  <a14:compatExt spid="_x0000_s10254"/>
                </a:ext>
                <a:ext uri="{FF2B5EF4-FFF2-40B4-BE49-F238E27FC236}">
                  <a16:creationId xmlns:a16="http://schemas.microsoft.com/office/drawing/2014/main" id="{00000000-0008-0000-0500-00000E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26</xdr:row>
          <xdr:rowOff>190500</xdr:rowOff>
        </xdr:from>
        <xdr:to>
          <xdr:col>30</xdr:col>
          <xdr:colOff>19050</xdr:colOff>
          <xdr:row>28</xdr:row>
          <xdr:rowOff>31750</xdr:rowOff>
        </xdr:to>
        <xdr:sp macro="" textlink="">
          <xdr:nvSpPr>
            <xdr:cNvPr id="10255" name="Check Box 15" hidden="1">
              <a:extLst>
                <a:ext uri="{63B3BB69-23CF-44E3-9099-C40C66FF867C}">
                  <a14:compatExt spid="_x0000_s10255"/>
                </a:ext>
                <a:ext uri="{FF2B5EF4-FFF2-40B4-BE49-F238E27FC236}">
                  <a16:creationId xmlns:a16="http://schemas.microsoft.com/office/drawing/2014/main" id="{00000000-0008-0000-0500-00000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xdr:row>
          <xdr:rowOff>184150</xdr:rowOff>
        </xdr:from>
        <xdr:to>
          <xdr:col>30</xdr:col>
          <xdr:colOff>19050</xdr:colOff>
          <xdr:row>29</xdr:row>
          <xdr:rowOff>19050</xdr:rowOff>
        </xdr:to>
        <xdr:sp macro="" textlink="">
          <xdr:nvSpPr>
            <xdr:cNvPr id="10256" name="Check Box 16" hidden="1">
              <a:extLst>
                <a:ext uri="{63B3BB69-23CF-44E3-9099-C40C66FF867C}">
                  <a14:compatExt spid="_x0000_s10256"/>
                </a:ext>
                <a:ext uri="{FF2B5EF4-FFF2-40B4-BE49-F238E27FC236}">
                  <a16:creationId xmlns:a16="http://schemas.microsoft.com/office/drawing/2014/main" id="{00000000-0008-0000-0500-000010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565150</xdr:colOff>
          <xdr:row>34</xdr:row>
          <xdr:rowOff>171450</xdr:rowOff>
        </xdr:from>
        <xdr:to>
          <xdr:col>30</xdr:col>
          <xdr:colOff>762000</xdr:colOff>
          <xdr:row>36</xdr:row>
          <xdr:rowOff>19050</xdr:rowOff>
        </xdr:to>
        <xdr:sp macro="" textlink="">
          <xdr:nvSpPr>
            <xdr:cNvPr id="10257" name="Check Box 17" hidden="1">
              <a:extLst>
                <a:ext uri="{63B3BB69-23CF-44E3-9099-C40C66FF867C}">
                  <a14:compatExt spid="_x0000_s10257"/>
                </a:ext>
                <a:ext uri="{FF2B5EF4-FFF2-40B4-BE49-F238E27FC236}">
                  <a16:creationId xmlns:a16="http://schemas.microsoft.com/office/drawing/2014/main" id="{00000000-0008-0000-0500-00001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34</xdr:row>
          <xdr:rowOff>190500</xdr:rowOff>
        </xdr:from>
        <xdr:to>
          <xdr:col>30</xdr:col>
          <xdr:colOff>19050</xdr:colOff>
          <xdr:row>36</xdr:row>
          <xdr:rowOff>38100</xdr:rowOff>
        </xdr:to>
        <xdr:sp macro="" textlink="">
          <xdr:nvSpPr>
            <xdr:cNvPr id="10258" name="Check Box 18" hidden="1">
              <a:extLst>
                <a:ext uri="{63B3BB69-23CF-44E3-9099-C40C66FF867C}">
                  <a14:compatExt spid="_x0000_s10258"/>
                </a:ext>
                <a:ext uri="{FF2B5EF4-FFF2-40B4-BE49-F238E27FC236}">
                  <a16:creationId xmlns:a16="http://schemas.microsoft.com/office/drawing/2014/main" id="{00000000-0008-0000-0500-00001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20</xdr:col>
      <xdr:colOff>28575</xdr:colOff>
      <xdr:row>0</xdr:row>
      <xdr:rowOff>0</xdr:rowOff>
    </xdr:from>
    <xdr:to>
      <xdr:col>21</xdr:col>
      <xdr:colOff>70037</xdr:colOff>
      <xdr:row>0</xdr:row>
      <xdr:rowOff>302559</xdr:rowOff>
    </xdr:to>
    <xdr:sp macro="" textlink="">
      <xdr:nvSpPr>
        <xdr:cNvPr id="20" name="오각형 3">
          <a:hlinkClick xmlns:r="http://schemas.openxmlformats.org/officeDocument/2006/relationships" r:id="rId1"/>
          <a:extLst>
            <a:ext uri="{FF2B5EF4-FFF2-40B4-BE49-F238E27FC236}">
              <a16:creationId xmlns:a16="http://schemas.microsoft.com/office/drawing/2014/main" id="{00000000-0008-0000-0500-000014000000}"/>
            </a:ext>
          </a:extLst>
        </xdr:cNvPr>
        <xdr:cNvSpPr/>
      </xdr:nvSpPr>
      <xdr:spPr>
        <a:xfrm>
          <a:off x="16297275"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xdr:twoCellAnchor>
    <xdr:from>
      <xdr:col>1</xdr:col>
      <xdr:colOff>0</xdr:colOff>
      <xdr:row>0</xdr:row>
      <xdr:rowOff>0</xdr:rowOff>
    </xdr:from>
    <xdr:to>
      <xdr:col>2</xdr:col>
      <xdr:colOff>41462</xdr:colOff>
      <xdr:row>0</xdr:row>
      <xdr:rowOff>302559</xdr:rowOff>
    </xdr:to>
    <xdr:sp macro="" textlink="">
      <xdr:nvSpPr>
        <xdr:cNvPr id="22" name="오각형 3">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3</xdr:col>
          <xdr:colOff>546100</xdr:colOff>
          <xdr:row>43</xdr:row>
          <xdr:rowOff>152400</xdr:rowOff>
        </xdr:from>
        <xdr:to>
          <xdr:col>7</xdr:col>
          <xdr:colOff>88900</xdr:colOff>
          <xdr:row>45</xdr:row>
          <xdr:rowOff>95250</xdr:rowOff>
        </xdr:to>
        <xdr:sp macro="" textlink="">
          <xdr:nvSpPr>
            <xdr:cNvPr id="10259" name="Button 19" hidden="1">
              <a:extLst>
                <a:ext uri="{63B3BB69-23CF-44E3-9099-C40C66FF867C}">
                  <a14:compatExt spid="_x0000_s10259"/>
                </a:ext>
                <a:ext uri="{FF2B5EF4-FFF2-40B4-BE49-F238E27FC236}">
                  <a16:creationId xmlns:a16="http://schemas.microsoft.com/office/drawing/2014/main" id="{00000000-0008-0000-0500-000013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전문가활용내역서 국문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12700</xdr:colOff>
          <xdr:row>43</xdr:row>
          <xdr:rowOff>114300</xdr:rowOff>
        </xdr:from>
        <xdr:to>
          <xdr:col>26</xdr:col>
          <xdr:colOff>704850</xdr:colOff>
          <xdr:row>45</xdr:row>
          <xdr:rowOff>57150</xdr:rowOff>
        </xdr:to>
        <xdr:sp macro="" textlink="">
          <xdr:nvSpPr>
            <xdr:cNvPr id="10260" name="Button 20" hidden="1">
              <a:extLst>
                <a:ext uri="{63B3BB69-23CF-44E3-9099-C40C66FF867C}">
                  <a14:compatExt spid="_x0000_s10260"/>
                </a:ext>
                <a:ext uri="{FF2B5EF4-FFF2-40B4-BE49-F238E27FC236}">
                  <a16:creationId xmlns:a16="http://schemas.microsoft.com/office/drawing/2014/main" id="{00000000-0008-0000-0500-000014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영문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431800</xdr:colOff>
          <xdr:row>33</xdr:row>
          <xdr:rowOff>184150</xdr:rowOff>
        </xdr:from>
        <xdr:to>
          <xdr:col>6</xdr:col>
          <xdr:colOff>628650</xdr:colOff>
          <xdr:row>35</xdr:row>
          <xdr:rowOff>19050</xdr:rowOff>
        </xdr:to>
        <xdr:sp macro="" textlink="">
          <xdr:nvSpPr>
            <xdr:cNvPr id="10262" name="Check Box 22" hidden="1">
              <a:extLst>
                <a:ext uri="{63B3BB69-23CF-44E3-9099-C40C66FF867C}">
                  <a14:compatExt spid="_x0000_s10262"/>
                </a:ext>
                <a:ext uri="{FF2B5EF4-FFF2-40B4-BE49-F238E27FC236}">
                  <a16:creationId xmlns:a16="http://schemas.microsoft.com/office/drawing/2014/main" id="{00000000-0008-0000-0500-00001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12700</xdr:colOff>
          <xdr:row>33</xdr:row>
          <xdr:rowOff>171450</xdr:rowOff>
        </xdr:from>
        <xdr:to>
          <xdr:col>11</xdr:col>
          <xdr:colOff>31750</xdr:colOff>
          <xdr:row>35</xdr:row>
          <xdr:rowOff>12700</xdr:rowOff>
        </xdr:to>
        <xdr:sp macro="" textlink="">
          <xdr:nvSpPr>
            <xdr:cNvPr id="10263" name="Check Box 23" hidden="1">
              <a:extLst>
                <a:ext uri="{63B3BB69-23CF-44E3-9099-C40C66FF867C}">
                  <a14:compatExt spid="_x0000_s10263"/>
                </a:ext>
                <a:ext uri="{FF2B5EF4-FFF2-40B4-BE49-F238E27FC236}">
                  <a16:creationId xmlns:a16="http://schemas.microsoft.com/office/drawing/2014/main" id="{00000000-0008-0000-0500-00001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19050</xdr:colOff>
      <xdr:row>0</xdr:row>
      <xdr:rowOff>0</xdr:rowOff>
    </xdr:from>
    <xdr:to>
      <xdr:col>2</xdr:col>
      <xdr:colOff>612775</xdr:colOff>
      <xdr:row>1</xdr:row>
      <xdr:rowOff>142875</xdr:rowOff>
    </xdr:to>
    <xdr:sp macro="" textlink="">
      <xdr:nvSpPr>
        <xdr:cNvPr id="2" name="오각형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19050" y="0"/>
          <a:ext cx="1279525" cy="352425"/>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4</xdr:col>
          <xdr:colOff>57150</xdr:colOff>
          <xdr:row>24</xdr:row>
          <xdr:rowOff>114300</xdr:rowOff>
        </xdr:from>
        <xdr:to>
          <xdr:col>7</xdr:col>
          <xdr:colOff>527050</xdr:colOff>
          <xdr:row>26</xdr:row>
          <xdr:rowOff>57150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출력하기</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19050</xdr:colOff>
      <xdr:row>0</xdr:row>
      <xdr:rowOff>0</xdr:rowOff>
    </xdr:from>
    <xdr:to>
      <xdr:col>2</xdr:col>
      <xdr:colOff>612775</xdr:colOff>
      <xdr:row>1</xdr:row>
      <xdr:rowOff>142875</xdr:rowOff>
    </xdr:to>
    <xdr:sp macro="" textlink="">
      <xdr:nvSpPr>
        <xdr:cNvPr id="2" name="오각형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114300" y="0"/>
          <a:ext cx="1279525" cy="352425"/>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3</xdr:col>
          <xdr:colOff>666750</xdr:colOff>
          <xdr:row>28</xdr:row>
          <xdr:rowOff>171450</xdr:rowOff>
        </xdr:from>
        <xdr:to>
          <xdr:col>7</xdr:col>
          <xdr:colOff>457200</xdr:colOff>
          <xdr:row>30</xdr:row>
          <xdr:rowOff>114300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출력하기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457200</xdr:colOff>
          <xdr:row>27</xdr:row>
          <xdr:rowOff>184150</xdr:rowOff>
        </xdr:from>
        <xdr:to>
          <xdr:col>8</xdr:col>
          <xdr:colOff>660400</xdr:colOff>
          <xdr:row>29</xdr:row>
          <xdr:rowOff>19050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203200</xdr:rowOff>
        </xdr:from>
        <xdr:to>
          <xdr:col>8</xdr:col>
          <xdr:colOff>660400</xdr:colOff>
          <xdr:row>38</xdr:row>
          <xdr:rowOff>19050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8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28</xdr:row>
          <xdr:rowOff>190500</xdr:rowOff>
        </xdr:from>
        <xdr:to>
          <xdr:col>8</xdr:col>
          <xdr:colOff>660400</xdr:colOff>
          <xdr:row>30</xdr:row>
          <xdr:rowOff>38100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8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27</xdr:row>
          <xdr:rowOff>190500</xdr:rowOff>
        </xdr:from>
        <xdr:to>
          <xdr:col>11</xdr:col>
          <xdr:colOff>393700</xdr:colOff>
          <xdr:row>29</xdr:row>
          <xdr:rowOff>38100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8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28</xdr:row>
          <xdr:rowOff>184150</xdr:rowOff>
        </xdr:from>
        <xdr:to>
          <xdr:col>11</xdr:col>
          <xdr:colOff>393700</xdr:colOff>
          <xdr:row>30</xdr:row>
          <xdr:rowOff>19050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8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184150</xdr:colOff>
          <xdr:row>36</xdr:row>
          <xdr:rowOff>190500</xdr:rowOff>
        </xdr:from>
        <xdr:to>
          <xdr:col>11</xdr:col>
          <xdr:colOff>381000</xdr:colOff>
          <xdr:row>38</xdr:row>
          <xdr:rowOff>12700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8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19050</xdr:colOff>
          <xdr:row>27</xdr:row>
          <xdr:rowOff>12700</xdr:rowOff>
        </xdr:from>
        <xdr:to>
          <xdr:col>27</xdr:col>
          <xdr:colOff>222250</xdr:colOff>
          <xdr:row>27</xdr:row>
          <xdr:rowOff>184150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8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0</xdr:row>
      <xdr:rowOff>0</xdr:rowOff>
    </xdr:from>
    <xdr:to>
      <xdr:col>4</xdr:col>
      <xdr:colOff>346262</xdr:colOff>
      <xdr:row>1</xdr:row>
      <xdr:rowOff>93009</xdr:rowOff>
    </xdr:to>
    <xdr:sp macro="" textlink="">
      <xdr:nvSpPr>
        <xdr:cNvPr id="14" name="오각형 3">
          <a:hlinkClick xmlns:r="http://schemas.openxmlformats.org/officeDocument/2006/relationships" r:id="rId1"/>
          <a:extLst>
            <a:ext uri="{FF2B5EF4-FFF2-40B4-BE49-F238E27FC236}">
              <a16:creationId xmlns:a16="http://schemas.microsoft.com/office/drawing/2014/main" id="{00000000-0008-0000-0800-00000E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editAs="oneCell">
        <xdr:from>
          <xdr:col>25</xdr:col>
          <xdr:colOff>508000</xdr:colOff>
          <xdr:row>28</xdr:row>
          <xdr:rowOff>12700</xdr:rowOff>
        </xdr:from>
        <xdr:to>
          <xdr:col>26</xdr:col>
          <xdr:colOff>38100</xdr:colOff>
          <xdr:row>28</xdr:row>
          <xdr:rowOff>203200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8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19050</xdr:colOff>
          <xdr:row>28</xdr:row>
          <xdr:rowOff>0</xdr:rowOff>
        </xdr:from>
        <xdr:to>
          <xdr:col>27</xdr:col>
          <xdr:colOff>247650</xdr:colOff>
          <xdr:row>28</xdr:row>
          <xdr:rowOff>190500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8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12700</xdr:colOff>
          <xdr:row>48</xdr:row>
          <xdr:rowOff>12700</xdr:rowOff>
        </xdr:from>
        <xdr:to>
          <xdr:col>9</xdr:col>
          <xdr:colOff>476250</xdr:colOff>
          <xdr:row>49</xdr:row>
          <xdr:rowOff>171450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8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국문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12700</xdr:colOff>
          <xdr:row>48</xdr:row>
          <xdr:rowOff>19050</xdr:rowOff>
        </xdr:from>
        <xdr:to>
          <xdr:col>24</xdr:col>
          <xdr:colOff>476250</xdr:colOff>
          <xdr:row>49</xdr:row>
          <xdr:rowOff>184150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8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영문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495300</xdr:colOff>
          <xdr:row>27</xdr:row>
          <xdr:rowOff>0</xdr:rowOff>
        </xdr:from>
        <xdr:to>
          <xdr:col>26</xdr:col>
          <xdr:colOff>31750</xdr:colOff>
          <xdr:row>27</xdr:row>
          <xdr:rowOff>190500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8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374650</xdr:colOff>
          <xdr:row>39</xdr:row>
          <xdr:rowOff>0</xdr:rowOff>
        </xdr:from>
        <xdr:to>
          <xdr:col>25</xdr:col>
          <xdr:colOff>603250</xdr:colOff>
          <xdr:row>39</xdr:row>
          <xdr:rowOff>190500</xdr:rowOff>
        </xdr:to>
        <xdr:sp macro="" textlink="">
          <xdr:nvSpPr>
            <xdr:cNvPr id="3107" name="Check Box 35" hidden="1">
              <a:extLst>
                <a:ext uri="{63B3BB69-23CF-44E3-9099-C40C66FF867C}">
                  <a14:compatExt spid="_x0000_s3107"/>
                </a:ext>
                <a:ext uri="{FF2B5EF4-FFF2-40B4-BE49-F238E27FC236}">
                  <a16:creationId xmlns:a16="http://schemas.microsoft.com/office/drawing/2014/main" id="{00000000-0008-0000-0800-00002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603250</xdr:colOff>
          <xdr:row>39</xdr:row>
          <xdr:rowOff>0</xdr:rowOff>
        </xdr:from>
        <xdr:to>
          <xdr:col>27</xdr:col>
          <xdr:colOff>152400</xdr:colOff>
          <xdr:row>39</xdr:row>
          <xdr:rowOff>190500</xdr:rowOff>
        </xdr:to>
        <xdr:sp macro="" textlink="">
          <xdr:nvSpPr>
            <xdr:cNvPr id="3110" name="Check Box 38" hidden="1">
              <a:extLst>
                <a:ext uri="{63B3BB69-23CF-44E3-9099-C40C66FF867C}">
                  <a14:compatExt spid="_x0000_s3110"/>
                </a:ext>
                <a:ext uri="{FF2B5EF4-FFF2-40B4-BE49-F238E27FC236}">
                  <a16:creationId xmlns:a16="http://schemas.microsoft.com/office/drawing/2014/main" id="{00000000-0008-0000-0800-00002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184150</xdr:rowOff>
        </xdr:from>
        <xdr:to>
          <xdr:col>8</xdr:col>
          <xdr:colOff>660400</xdr:colOff>
          <xdr:row>29</xdr:row>
          <xdr:rowOff>19050</xdr:rowOff>
        </xdr:to>
        <xdr:sp macro="" textlink="">
          <xdr:nvSpPr>
            <xdr:cNvPr id="3111" name="Check Box 39" hidden="1">
              <a:extLst>
                <a:ext uri="{63B3BB69-23CF-44E3-9099-C40C66FF867C}">
                  <a14:compatExt spid="_x0000_s3111"/>
                </a:ext>
                <a:ext uri="{FF2B5EF4-FFF2-40B4-BE49-F238E27FC236}">
                  <a16:creationId xmlns:a16="http://schemas.microsoft.com/office/drawing/2014/main" id="{00000000-0008-0000-0800-00002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203200</xdr:rowOff>
        </xdr:from>
        <xdr:to>
          <xdr:col>8</xdr:col>
          <xdr:colOff>660400</xdr:colOff>
          <xdr:row>38</xdr:row>
          <xdr:rowOff>19050</xdr:rowOff>
        </xdr:to>
        <xdr:sp macro="" textlink="">
          <xdr:nvSpPr>
            <xdr:cNvPr id="3112" name="Check Box 40" hidden="1">
              <a:extLst>
                <a:ext uri="{63B3BB69-23CF-44E3-9099-C40C66FF867C}">
                  <a14:compatExt spid="_x0000_s3112"/>
                </a:ext>
                <a:ext uri="{FF2B5EF4-FFF2-40B4-BE49-F238E27FC236}">
                  <a16:creationId xmlns:a16="http://schemas.microsoft.com/office/drawing/2014/main" id="{00000000-0008-0000-0800-00002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28</xdr:row>
          <xdr:rowOff>190500</xdr:rowOff>
        </xdr:from>
        <xdr:to>
          <xdr:col>8</xdr:col>
          <xdr:colOff>660400</xdr:colOff>
          <xdr:row>30</xdr:row>
          <xdr:rowOff>38100</xdr:rowOff>
        </xdr:to>
        <xdr:sp macro="" textlink="">
          <xdr:nvSpPr>
            <xdr:cNvPr id="3113" name="Check Box 41" hidden="1">
              <a:extLst>
                <a:ext uri="{63B3BB69-23CF-44E3-9099-C40C66FF867C}">
                  <a14:compatExt spid="_x0000_s3113"/>
                </a:ext>
                <a:ext uri="{FF2B5EF4-FFF2-40B4-BE49-F238E27FC236}">
                  <a16:creationId xmlns:a16="http://schemas.microsoft.com/office/drawing/2014/main" id="{00000000-0008-0000-0800-00002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27</xdr:row>
          <xdr:rowOff>190500</xdr:rowOff>
        </xdr:from>
        <xdr:to>
          <xdr:col>11</xdr:col>
          <xdr:colOff>393700</xdr:colOff>
          <xdr:row>29</xdr:row>
          <xdr:rowOff>38100</xdr:rowOff>
        </xdr:to>
        <xdr:sp macro="" textlink="">
          <xdr:nvSpPr>
            <xdr:cNvPr id="3114" name="Check Box 42" hidden="1">
              <a:extLst>
                <a:ext uri="{63B3BB69-23CF-44E3-9099-C40C66FF867C}">
                  <a14:compatExt spid="_x0000_s3114"/>
                </a:ext>
                <a:ext uri="{FF2B5EF4-FFF2-40B4-BE49-F238E27FC236}">
                  <a16:creationId xmlns:a16="http://schemas.microsoft.com/office/drawing/2014/main" id="{00000000-0008-0000-0800-00002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28</xdr:row>
          <xdr:rowOff>184150</xdr:rowOff>
        </xdr:from>
        <xdr:to>
          <xdr:col>11</xdr:col>
          <xdr:colOff>393700</xdr:colOff>
          <xdr:row>30</xdr:row>
          <xdr:rowOff>19050</xdr:rowOff>
        </xdr:to>
        <xdr:sp macro="" textlink="">
          <xdr:nvSpPr>
            <xdr:cNvPr id="3115" name="Check Box 43" hidden="1">
              <a:extLst>
                <a:ext uri="{63B3BB69-23CF-44E3-9099-C40C66FF867C}">
                  <a14:compatExt spid="_x0000_s3115"/>
                </a:ext>
                <a:ext uri="{FF2B5EF4-FFF2-40B4-BE49-F238E27FC236}">
                  <a16:creationId xmlns:a16="http://schemas.microsoft.com/office/drawing/2014/main" id="{00000000-0008-0000-0800-00002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184150</xdr:colOff>
          <xdr:row>36</xdr:row>
          <xdr:rowOff>190500</xdr:rowOff>
        </xdr:from>
        <xdr:to>
          <xdr:col>11</xdr:col>
          <xdr:colOff>381000</xdr:colOff>
          <xdr:row>38</xdr:row>
          <xdr:rowOff>12700</xdr:rowOff>
        </xdr:to>
        <xdr:sp macro="" textlink="">
          <xdr:nvSpPr>
            <xdr:cNvPr id="3116" name="Check Box 44" hidden="1">
              <a:extLst>
                <a:ext uri="{63B3BB69-23CF-44E3-9099-C40C66FF867C}">
                  <a14:compatExt spid="_x0000_s3116"/>
                </a:ext>
                <a:ext uri="{FF2B5EF4-FFF2-40B4-BE49-F238E27FC236}">
                  <a16:creationId xmlns:a16="http://schemas.microsoft.com/office/drawing/2014/main" id="{00000000-0008-0000-0800-00002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146050</xdr:rowOff>
        </xdr:from>
        <xdr:to>
          <xdr:col>1</xdr:col>
          <xdr:colOff>762000</xdr:colOff>
          <xdr:row>3</xdr:row>
          <xdr:rowOff>355600</xdr:rowOff>
        </xdr:to>
        <xdr:sp macro="" textlink="">
          <xdr:nvSpPr>
            <xdr:cNvPr id="32769" name="Check Box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ko-KR" altLang="en-US" sz="900" b="0" i="0" u="none" strike="noStrike" baseline="0">
                  <a:solidFill>
                    <a:srgbClr val="000000"/>
                  </a:solidFill>
                  <a:latin typeface="Malgun Gothic"/>
                  <a:ea typeface="Malgun Gothic"/>
                </a:rPr>
                <a:t> 신규</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1123950</xdr:colOff>
          <xdr:row>2</xdr:row>
          <xdr:rowOff>152400</xdr:rowOff>
        </xdr:from>
        <xdr:to>
          <xdr:col>3</xdr:col>
          <xdr:colOff>469900</xdr:colOff>
          <xdr:row>3</xdr:row>
          <xdr:rowOff>361950</xdr:rowOff>
        </xdr:to>
        <xdr:sp macro="" textlink="">
          <xdr:nvSpPr>
            <xdr:cNvPr id="32770" name="Check Box 2" hidden="1">
              <a:extLst>
                <a:ext uri="{63B3BB69-23CF-44E3-9099-C40C66FF867C}">
                  <a14:compatExt spid="_x0000_s32770"/>
                </a:ext>
                <a:ext uri="{FF2B5EF4-FFF2-40B4-BE49-F238E27FC236}">
                  <a16:creationId xmlns:a16="http://schemas.microsoft.com/office/drawing/2014/main" id="{00000000-0008-0000-09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ko-KR" altLang="en-US" sz="900" b="0" i="0" u="none" strike="noStrike" baseline="0">
                  <a:solidFill>
                    <a:srgbClr val="000000"/>
                  </a:solidFill>
                  <a:latin typeface="Malgun Gothic"/>
                  <a:ea typeface="Malgun Gothic"/>
                </a:rPr>
                <a:t> 협약체결 변경, 중단, 해약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xdr:row>
          <xdr:rowOff>146050</xdr:rowOff>
        </xdr:from>
        <xdr:to>
          <xdr:col>4</xdr:col>
          <xdr:colOff>419100</xdr:colOff>
          <xdr:row>3</xdr:row>
          <xdr:rowOff>374650</xdr:rowOff>
        </xdr:to>
        <xdr:sp macro="" textlink="">
          <xdr:nvSpPr>
            <xdr:cNvPr id="32771" name="Check Box 3" hidden="1">
              <a:extLst>
                <a:ext uri="{63B3BB69-23CF-44E3-9099-C40C66FF867C}">
                  <a14:compatExt spid="_x0000_s32771"/>
                </a:ext>
                <a:ext uri="{FF2B5EF4-FFF2-40B4-BE49-F238E27FC236}">
                  <a16:creationId xmlns:a16="http://schemas.microsoft.com/office/drawing/2014/main" id="{00000000-0008-0000-0900-00000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ko-KR" altLang="en-US" sz="900" b="0" i="0" u="none" strike="noStrike" baseline="0">
                  <a:solidFill>
                    <a:srgbClr val="000000"/>
                  </a:solidFill>
                  <a:latin typeface="Malgun Gothic"/>
                  <a:ea typeface="Malgun Gothic"/>
                </a:rPr>
                <a:t> 학적변동</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514350</xdr:colOff>
          <xdr:row>2</xdr:row>
          <xdr:rowOff>146050</xdr:rowOff>
        </xdr:from>
        <xdr:to>
          <xdr:col>1</xdr:col>
          <xdr:colOff>1276350</xdr:colOff>
          <xdr:row>3</xdr:row>
          <xdr:rowOff>355600</xdr:rowOff>
        </xdr:to>
        <xdr:sp macro="" textlink="">
          <xdr:nvSpPr>
            <xdr:cNvPr id="32772" name="Check Box 4" hidden="1">
              <a:extLst>
                <a:ext uri="{63B3BB69-23CF-44E3-9099-C40C66FF867C}">
                  <a14:compatExt spid="_x0000_s32772"/>
                </a:ext>
                <a:ext uri="{FF2B5EF4-FFF2-40B4-BE49-F238E27FC236}">
                  <a16:creationId xmlns:a16="http://schemas.microsoft.com/office/drawing/2014/main" id="{00000000-0008-0000-0900-000004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ko-KR" altLang="en-US" sz="900" b="0" i="0" u="none" strike="noStrike" baseline="0">
                  <a:solidFill>
                    <a:srgbClr val="000000"/>
                  </a:solidFill>
                  <a:latin typeface="Malgun Gothic"/>
                  <a:ea typeface="Malgun Gothic"/>
                </a:rPr>
                <a:t> 변경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527050</xdr:colOff>
          <xdr:row>2</xdr:row>
          <xdr:rowOff>152400</xdr:rowOff>
        </xdr:from>
        <xdr:to>
          <xdr:col>5</xdr:col>
          <xdr:colOff>603250</xdr:colOff>
          <xdr:row>3</xdr:row>
          <xdr:rowOff>361950</xdr:rowOff>
        </xdr:to>
        <xdr:sp macro="" textlink="">
          <xdr:nvSpPr>
            <xdr:cNvPr id="32773" name="Check Box 5" hidden="1">
              <a:extLst>
                <a:ext uri="{63B3BB69-23CF-44E3-9099-C40C66FF867C}">
                  <a14:compatExt spid="_x0000_s32773"/>
                </a:ext>
                <a:ext uri="{FF2B5EF4-FFF2-40B4-BE49-F238E27FC236}">
                  <a16:creationId xmlns:a16="http://schemas.microsoft.com/office/drawing/2014/main" id="{00000000-0008-0000-0900-000005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ko-KR" altLang="en-US" sz="900" b="0" i="0" u="none" strike="noStrike" baseline="0">
                  <a:solidFill>
                    <a:srgbClr val="000000"/>
                  </a:solidFill>
                  <a:latin typeface="Malgun Gothic"/>
                  <a:ea typeface="Malgun Gothic"/>
                </a:rPr>
                <a:t> 개인사정</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685800</xdr:colOff>
          <xdr:row>2</xdr:row>
          <xdr:rowOff>152400</xdr:rowOff>
        </xdr:from>
        <xdr:to>
          <xdr:col>8</xdr:col>
          <xdr:colOff>723900</xdr:colOff>
          <xdr:row>3</xdr:row>
          <xdr:rowOff>361950</xdr:rowOff>
        </xdr:to>
        <xdr:sp macro="" textlink="">
          <xdr:nvSpPr>
            <xdr:cNvPr id="32774" name="Check Box 6" hidden="1">
              <a:extLst>
                <a:ext uri="{63B3BB69-23CF-44E3-9099-C40C66FF867C}">
                  <a14:compatExt spid="_x0000_s32774"/>
                </a:ext>
                <a:ext uri="{FF2B5EF4-FFF2-40B4-BE49-F238E27FC236}">
                  <a16:creationId xmlns:a16="http://schemas.microsoft.com/office/drawing/2014/main" id="{00000000-0008-0000-0900-000006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ko-KR" altLang="en-US" sz="900" b="0" i="0" u="none" strike="noStrike" baseline="0">
                  <a:solidFill>
                    <a:srgbClr val="000000"/>
                  </a:solidFill>
                  <a:latin typeface="Malgun Gothic"/>
                  <a:ea typeface="Malgun Gothic"/>
                </a:rPr>
                <a:t> 질병, 실종, 형사소추 등 업무수행 불가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412750</xdr:colOff>
          <xdr:row>2</xdr:row>
          <xdr:rowOff>152400</xdr:rowOff>
        </xdr:from>
        <xdr:to>
          <xdr:col>10</xdr:col>
          <xdr:colOff>88900</xdr:colOff>
          <xdr:row>3</xdr:row>
          <xdr:rowOff>361950</xdr:rowOff>
        </xdr:to>
        <xdr:sp macro="" textlink="">
          <xdr:nvSpPr>
            <xdr:cNvPr id="32775" name="Check Box 7" hidden="1">
              <a:extLst>
                <a:ext uri="{63B3BB69-23CF-44E3-9099-C40C66FF867C}">
                  <a14:compatExt spid="_x0000_s32775"/>
                </a:ext>
                <a:ext uri="{FF2B5EF4-FFF2-40B4-BE49-F238E27FC236}">
                  <a16:creationId xmlns:a16="http://schemas.microsoft.com/office/drawing/2014/main" id="{00000000-0008-0000-0900-000007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ko-KR" altLang="en-US" sz="900" b="0" i="0" u="none" strike="noStrike" baseline="0">
                  <a:solidFill>
                    <a:srgbClr val="000000"/>
                  </a:solidFill>
                  <a:latin typeface="Malgun Gothic"/>
                  <a:ea typeface="Malgun Gothic"/>
                </a:rPr>
                <a:t> 신규 학기설정</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49</xdr:row>
          <xdr:rowOff>127000</xdr:rowOff>
        </xdr:from>
        <xdr:to>
          <xdr:col>7</xdr:col>
          <xdr:colOff>12700</xdr:colOff>
          <xdr:row>51</xdr:row>
          <xdr:rowOff>69850</xdr:rowOff>
        </xdr:to>
        <xdr:sp macro="" textlink="">
          <xdr:nvSpPr>
            <xdr:cNvPr id="32782" name="Button 14" hidden="1">
              <a:extLst>
                <a:ext uri="{63B3BB69-23CF-44E3-9099-C40C66FF867C}">
                  <a14:compatExt spid="_x0000_s32782"/>
                </a:ext>
                <a:ext uri="{FF2B5EF4-FFF2-40B4-BE49-F238E27FC236}">
                  <a16:creationId xmlns:a16="http://schemas.microsoft.com/office/drawing/2014/main" id="{00000000-0008-0000-0900-00000E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출력하기</a:t>
              </a:r>
            </a:p>
          </xdr:txBody>
        </xdr:sp>
        <xdr:clientData fPrintsWithSheet="0"/>
      </xdr:twoCellAnchor>
    </mc:Choice>
    <mc:Fallback/>
  </mc:AlternateContent>
  <xdr:twoCellAnchor>
    <xdr:from>
      <xdr:col>1</xdr:col>
      <xdr:colOff>0</xdr:colOff>
      <xdr:row>0</xdr:row>
      <xdr:rowOff>0</xdr:rowOff>
    </xdr:from>
    <xdr:to>
      <xdr:col>1</xdr:col>
      <xdr:colOff>1270187</xdr:colOff>
      <xdr:row>1</xdr:row>
      <xdr:rowOff>93009</xdr:rowOff>
    </xdr:to>
    <xdr:sp macro="" textlink="">
      <xdr:nvSpPr>
        <xdr:cNvPr id="18" name="오각형 3">
          <a:hlinkClick xmlns:r="http://schemas.openxmlformats.org/officeDocument/2006/relationships" r:id="rId1"/>
          <a:extLst>
            <a:ext uri="{FF2B5EF4-FFF2-40B4-BE49-F238E27FC236}">
              <a16:creationId xmlns:a16="http://schemas.microsoft.com/office/drawing/2014/main" id="{00000000-0008-0000-0900-000012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editAs="oneCell">
        <xdr:from>
          <xdr:col>2</xdr:col>
          <xdr:colOff>165100</xdr:colOff>
          <xdr:row>16</xdr:row>
          <xdr:rowOff>279400</xdr:rowOff>
        </xdr:from>
        <xdr:to>
          <xdr:col>2</xdr:col>
          <xdr:colOff>1028700</xdr:colOff>
          <xdr:row>17</xdr:row>
          <xdr:rowOff>247650</xdr:rowOff>
        </xdr:to>
        <xdr:sp macro="" textlink="">
          <xdr:nvSpPr>
            <xdr:cNvPr id="32783" name="Check Box 15" hidden="1">
              <a:extLst>
                <a:ext uri="{63B3BB69-23CF-44E3-9099-C40C66FF867C}">
                  <a14:compatExt spid="_x0000_s32783"/>
                </a:ext>
                <a:ext uri="{FF2B5EF4-FFF2-40B4-BE49-F238E27FC236}">
                  <a16:creationId xmlns:a16="http://schemas.microsoft.com/office/drawing/2014/main" id="{00000000-0008-0000-09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ko-KR" altLang="en-US" sz="900" b="0" i="0" u="none" strike="noStrike" baseline="0">
                  <a:solidFill>
                    <a:srgbClr val="000000"/>
                  </a:solidFill>
                  <a:latin typeface="Malgun Gothic"/>
                  <a:ea typeface="Malgun Gothic"/>
                </a:rPr>
                <a:t>실험진행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16</xdr:row>
          <xdr:rowOff>279400</xdr:rowOff>
        </xdr:from>
        <xdr:to>
          <xdr:col>3</xdr:col>
          <xdr:colOff>285750</xdr:colOff>
          <xdr:row>17</xdr:row>
          <xdr:rowOff>247650</xdr:rowOff>
        </xdr:to>
        <xdr:sp macro="" textlink="">
          <xdr:nvSpPr>
            <xdr:cNvPr id="32784" name="Check Box 16" hidden="1">
              <a:extLst>
                <a:ext uri="{63B3BB69-23CF-44E3-9099-C40C66FF867C}">
                  <a14:compatExt spid="_x0000_s32784"/>
                </a:ext>
                <a:ext uri="{FF2B5EF4-FFF2-40B4-BE49-F238E27FC236}">
                  <a16:creationId xmlns:a16="http://schemas.microsoft.com/office/drawing/2014/main" id="{00000000-0008-0000-09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ko-KR" altLang="en-US" sz="900" b="0" i="0" u="none" strike="noStrike" baseline="0">
                  <a:solidFill>
                    <a:srgbClr val="000000"/>
                  </a:solidFill>
                  <a:latin typeface="Malgun Gothic"/>
                  <a:ea typeface="Malgun Gothic"/>
                </a:rPr>
                <a:t>자료수집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16</xdr:row>
          <xdr:rowOff>279400</xdr:rowOff>
        </xdr:from>
        <xdr:to>
          <xdr:col>4</xdr:col>
          <xdr:colOff>533400</xdr:colOff>
          <xdr:row>17</xdr:row>
          <xdr:rowOff>247650</xdr:rowOff>
        </xdr:to>
        <xdr:sp macro="" textlink="">
          <xdr:nvSpPr>
            <xdr:cNvPr id="32785" name="Check Box 17" hidden="1">
              <a:extLst>
                <a:ext uri="{63B3BB69-23CF-44E3-9099-C40C66FF867C}">
                  <a14:compatExt spid="_x0000_s32785"/>
                </a:ext>
                <a:ext uri="{FF2B5EF4-FFF2-40B4-BE49-F238E27FC236}">
                  <a16:creationId xmlns:a16="http://schemas.microsoft.com/office/drawing/2014/main" id="{00000000-0008-0000-09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ko-KR" altLang="en-US" sz="900" b="0" i="0" u="none" strike="noStrike" baseline="0">
                  <a:solidFill>
                    <a:srgbClr val="000000"/>
                  </a:solidFill>
                  <a:latin typeface="Malgun Gothic"/>
                  <a:ea typeface="Malgun Gothic"/>
                </a:rPr>
                <a:t>자료분석</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438150</xdr:colOff>
          <xdr:row>16</xdr:row>
          <xdr:rowOff>279400</xdr:rowOff>
        </xdr:from>
        <xdr:to>
          <xdr:col>5</xdr:col>
          <xdr:colOff>419100</xdr:colOff>
          <xdr:row>17</xdr:row>
          <xdr:rowOff>247650</xdr:rowOff>
        </xdr:to>
        <xdr:sp macro="" textlink="">
          <xdr:nvSpPr>
            <xdr:cNvPr id="32786" name="Check Box 18" hidden="1">
              <a:extLst>
                <a:ext uri="{63B3BB69-23CF-44E3-9099-C40C66FF867C}">
                  <a14:compatExt spid="_x0000_s32786"/>
                </a:ext>
                <a:ext uri="{FF2B5EF4-FFF2-40B4-BE49-F238E27FC236}">
                  <a16:creationId xmlns:a16="http://schemas.microsoft.com/office/drawing/2014/main" id="{00000000-0008-0000-09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ko-KR" altLang="en-US" sz="900" b="0" i="0" u="none" strike="noStrike" baseline="0">
                  <a:solidFill>
                    <a:srgbClr val="000000"/>
                  </a:solidFill>
                  <a:latin typeface="Malgun Gothic"/>
                  <a:ea typeface="Malgun Gothic"/>
                </a:rPr>
                <a:t>연구보조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16</xdr:row>
          <xdr:rowOff>279400</xdr:rowOff>
        </xdr:from>
        <xdr:to>
          <xdr:col>6</xdr:col>
          <xdr:colOff>76200</xdr:colOff>
          <xdr:row>17</xdr:row>
          <xdr:rowOff>247650</xdr:rowOff>
        </xdr:to>
        <xdr:sp macro="" textlink="">
          <xdr:nvSpPr>
            <xdr:cNvPr id="32787" name="Check Box 19" hidden="1">
              <a:extLst>
                <a:ext uri="{63B3BB69-23CF-44E3-9099-C40C66FF867C}">
                  <a14:compatExt spid="_x0000_s32787"/>
                </a:ext>
                <a:ext uri="{FF2B5EF4-FFF2-40B4-BE49-F238E27FC236}">
                  <a16:creationId xmlns:a16="http://schemas.microsoft.com/office/drawing/2014/main" id="{00000000-0008-0000-0900-00001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ko-KR" altLang="en-US" sz="900" b="0" i="0" u="none" strike="noStrike" baseline="0">
                  <a:solidFill>
                    <a:srgbClr val="000000"/>
                  </a:solidFill>
                  <a:latin typeface="Malgun Gothic"/>
                  <a:ea typeface="Malgun Gothic"/>
                </a:rPr>
                <a:t>사후분석</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16</xdr:row>
          <xdr:rowOff>279400</xdr:rowOff>
        </xdr:from>
        <xdr:to>
          <xdr:col>6</xdr:col>
          <xdr:colOff>850900</xdr:colOff>
          <xdr:row>17</xdr:row>
          <xdr:rowOff>247650</xdr:rowOff>
        </xdr:to>
        <xdr:sp macro="" textlink="">
          <xdr:nvSpPr>
            <xdr:cNvPr id="32788" name="Check Box 20" hidden="1">
              <a:extLst>
                <a:ext uri="{63B3BB69-23CF-44E3-9099-C40C66FF867C}">
                  <a14:compatExt spid="_x0000_s32788"/>
                </a:ext>
                <a:ext uri="{FF2B5EF4-FFF2-40B4-BE49-F238E27FC236}">
                  <a16:creationId xmlns:a16="http://schemas.microsoft.com/office/drawing/2014/main" id="{00000000-0008-0000-0900-000014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ko-KR" altLang="en-US" sz="900" b="0" i="0" u="none" strike="noStrike" baseline="0">
                  <a:solidFill>
                    <a:srgbClr val="000000"/>
                  </a:solidFill>
                  <a:latin typeface="Malgun Gothic"/>
                  <a:ea typeface="Malgun Gothic"/>
                </a:rPr>
                <a:t>보고서작성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971550</xdr:colOff>
          <xdr:row>36</xdr:row>
          <xdr:rowOff>38100</xdr:rowOff>
        </xdr:from>
        <xdr:to>
          <xdr:col>23</xdr:col>
          <xdr:colOff>0</xdr:colOff>
          <xdr:row>36</xdr:row>
          <xdr:rowOff>228600</xdr:rowOff>
        </xdr:to>
        <xdr:sp macro="" textlink="">
          <xdr:nvSpPr>
            <xdr:cNvPr id="32790" name="Check Box 22" hidden="1">
              <a:extLst>
                <a:ext uri="{63B3BB69-23CF-44E3-9099-C40C66FF867C}">
                  <a14:compatExt spid="_x0000_s32790"/>
                </a:ext>
                <a:ext uri="{FF2B5EF4-FFF2-40B4-BE49-F238E27FC236}">
                  <a16:creationId xmlns:a16="http://schemas.microsoft.com/office/drawing/2014/main" id="{00000000-0008-0000-0900-000016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10</xdr:col>
      <xdr:colOff>9525</xdr:colOff>
      <xdr:row>0</xdr:row>
      <xdr:rowOff>0</xdr:rowOff>
    </xdr:from>
    <xdr:to>
      <xdr:col>11</xdr:col>
      <xdr:colOff>517712</xdr:colOff>
      <xdr:row>0</xdr:row>
      <xdr:rowOff>302559</xdr:rowOff>
    </xdr:to>
    <xdr:sp macro="" textlink="">
      <xdr:nvSpPr>
        <xdr:cNvPr id="2" name="오각형 3">
          <a:hlinkClick xmlns:r="http://schemas.openxmlformats.org/officeDocument/2006/relationships" r:id="rId1"/>
          <a:extLst>
            <a:ext uri="{FF2B5EF4-FFF2-40B4-BE49-F238E27FC236}">
              <a16:creationId xmlns:a16="http://schemas.microsoft.com/office/drawing/2014/main" id="{00000000-0008-0000-0A00-000002000000}"/>
            </a:ext>
          </a:extLst>
        </xdr:cNvPr>
        <xdr:cNvSpPr/>
      </xdr:nvSpPr>
      <xdr:spPr>
        <a:xfrm>
          <a:off x="7248525"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4</xdr:col>
          <xdr:colOff>527050</xdr:colOff>
          <xdr:row>31</xdr:row>
          <xdr:rowOff>19050</xdr:rowOff>
        </xdr:from>
        <xdr:to>
          <xdr:col>7</xdr:col>
          <xdr:colOff>361950</xdr:colOff>
          <xdr:row>32</xdr:row>
          <xdr:rowOff>171450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A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출력하기</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12887</xdr:colOff>
      <xdr:row>0</xdr:row>
      <xdr:rowOff>302559</xdr:rowOff>
    </xdr:to>
    <xdr:sp macro="" textlink="">
      <xdr:nvSpPr>
        <xdr:cNvPr id="2" name="오각형 3">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xdr:twoCellAnchor>
    <xdr:from>
      <xdr:col>13</xdr:col>
      <xdr:colOff>19050</xdr:colOff>
      <xdr:row>0</xdr:row>
      <xdr:rowOff>0</xdr:rowOff>
    </xdr:from>
    <xdr:to>
      <xdr:col>14</xdr:col>
      <xdr:colOff>31937</xdr:colOff>
      <xdr:row>0</xdr:row>
      <xdr:rowOff>302559</xdr:rowOff>
    </xdr:to>
    <xdr:sp macro="" textlink="">
      <xdr:nvSpPr>
        <xdr:cNvPr id="3" name="오각형 3">
          <a:hlinkClick xmlns:r="http://schemas.openxmlformats.org/officeDocument/2006/relationships" r:id="rId1"/>
          <a:extLst>
            <a:ext uri="{FF2B5EF4-FFF2-40B4-BE49-F238E27FC236}">
              <a16:creationId xmlns:a16="http://schemas.microsoft.com/office/drawing/2014/main" id="{00000000-0008-0000-0B00-000003000000}"/>
            </a:ext>
          </a:extLst>
        </xdr:cNvPr>
        <xdr:cNvSpPr/>
      </xdr:nvSpPr>
      <xdr:spPr>
        <a:xfrm>
          <a:off x="655320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2</xdr:col>
          <xdr:colOff>285750</xdr:colOff>
          <xdr:row>28</xdr:row>
          <xdr:rowOff>203200</xdr:rowOff>
        </xdr:from>
        <xdr:to>
          <xdr:col>6</xdr:col>
          <xdr:colOff>355600</xdr:colOff>
          <xdr:row>29</xdr:row>
          <xdr:rowOff>107950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국내·외 출장 신청(명령)서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603250</xdr:colOff>
          <xdr:row>29</xdr:row>
          <xdr:rowOff>171450</xdr:rowOff>
        </xdr:from>
        <xdr:to>
          <xdr:col>19</xdr:col>
          <xdr:colOff>152400</xdr:colOff>
          <xdr:row>31</xdr:row>
          <xdr:rowOff>114300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B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국내·외 출장결과보고서 출력하기</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146237</xdr:colOff>
      <xdr:row>0</xdr:row>
      <xdr:rowOff>302559</xdr:rowOff>
    </xdr:to>
    <xdr:sp macro="" textlink="">
      <xdr:nvSpPr>
        <xdr:cNvPr id="2" name="오각형 3">
          <a:hlinkClick xmlns:r="http://schemas.openxmlformats.org/officeDocument/2006/relationships" r:id="rId1"/>
          <a:extLst>
            <a:ext uri="{FF2B5EF4-FFF2-40B4-BE49-F238E27FC236}">
              <a16:creationId xmlns:a16="http://schemas.microsoft.com/office/drawing/2014/main" id="{00000000-0008-0000-0C00-000002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3</xdr:col>
          <xdr:colOff>19050</xdr:colOff>
          <xdr:row>35</xdr:row>
          <xdr:rowOff>146050</xdr:rowOff>
        </xdr:from>
        <xdr:to>
          <xdr:col>6</xdr:col>
          <xdr:colOff>431800</xdr:colOff>
          <xdr:row>37</xdr:row>
          <xdr:rowOff>88900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C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연구수당 기여도평가서 출력하기</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xdr:col>
      <xdr:colOff>19050</xdr:colOff>
      <xdr:row>0</xdr:row>
      <xdr:rowOff>0</xdr:rowOff>
    </xdr:from>
    <xdr:to>
      <xdr:col>2</xdr:col>
      <xdr:colOff>412750</xdr:colOff>
      <xdr:row>1</xdr:row>
      <xdr:rowOff>142875</xdr:rowOff>
    </xdr:to>
    <xdr:sp macro="" textlink="">
      <xdr:nvSpPr>
        <xdr:cNvPr id="2" name="오각형 1">
          <a:hlinkClick xmlns:r="http://schemas.openxmlformats.org/officeDocument/2006/relationships" r:id="rId1"/>
          <a:extLst>
            <a:ext uri="{FF2B5EF4-FFF2-40B4-BE49-F238E27FC236}">
              <a16:creationId xmlns:a16="http://schemas.microsoft.com/office/drawing/2014/main" id="{00000000-0008-0000-0D00-000002000000}"/>
            </a:ext>
          </a:extLst>
        </xdr:cNvPr>
        <xdr:cNvSpPr/>
      </xdr:nvSpPr>
      <xdr:spPr>
        <a:xfrm>
          <a:off x="114300" y="0"/>
          <a:ext cx="1420283" cy="354542"/>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3</xdr:col>
          <xdr:colOff>57150</xdr:colOff>
          <xdr:row>31</xdr:row>
          <xdr:rowOff>114300</xdr:rowOff>
        </xdr:from>
        <xdr:to>
          <xdr:col>6</xdr:col>
          <xdr:colOff>527050</xdr:colOff>
          <xdr:row>33</xdr:row>
          <xdr:rowOff>57150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D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출력하기</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13</xdr:col>
      <xdr:colOff>28575</xdr:colOff>
      <xdr:row>0</xdr:row>
      <xdr:rowOff>0</xdr:rowOff>
    </xdr:from>
    <xdr:to>
      <xdr:col>14</xdr:col>
      <xdr:colOff>612962</xdr:colOff>
      <xdr:row>0</xdr:row>
      <xdr:rowOff>302559</xdr:rowOff>
    </xdr:to>
    <xdr:sp macro="" textlink="">
      <xdr:nvSpPr>
        <xdr:cNvPr id="3" name="오각형 3">
          <a:hlinkClick xmlns:r="http://schemas.openxmlformats.org/officeDocument/2006/relationships" r:id="rId1"/>
          <a:extLst>
            <a:ext uri="{FF2B5EF4-FFF2-40B4-BE49-F238E27FC236}">
              <a16:creationId xmlns:a16="http://schemas.microsoft.com/office/drawing/2014/main" id="{00000000-0008-0000-0E00-000003000000}"/>
            </a:ext>
          </a:extLst>
        </xdr:cNvPr>
        <xdr:cNvSpPr/>
      </xdr:nvSpPr>
      <xdr:spPr>
        <a:xfrm>
          <a:off x="15459075" y="95250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xdr:twoCellAnchor>
    <xdr:from>
      <xdr:col>1</xdr:col>
      <xdr:colOff>66675</xdr:colOff>
      <xdr:row>0</xdr:row>
      <xdr:rowOff>0</xdr:rowOff>
    </xdr:from>
    <xdr:to>
      <xdr:col>2</xdr:col>
      <xdr:colOff>651062</xdr:colOff>
      <xdr:row>0</xdr:row>
      <xdr:rowOff>302559</xdr:rowOff>
    </xdr:to>
    <xdr:sp macro="" textlink="">
      <xdr:nvSpPr>
        <xdr:cNvPr id="4" name="오각형 3">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a:off x="7858125" y="95250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4</xdr:col>
          <xdr:colOff>279400</xdr:colOff>
          <xdr:row>24</xdr:row>
          <xdr:rowOff>127000</xdr:rowOff>
        </xdr:from>
        <xdr:to>
          <xdr:col>8</xdr:col>
          <xdr:colOff>57150</xdr:colOff>
          <xdr:row>25</xdr:row>
          <xdr:rowOff>152400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E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주말·휴일 회의 사전 품의서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647700</xdr:colOff>
          <xdr:row>24</xdr:row>
          <xdr:rowOff>95250</xdr:rowOff>
        </xdr:from>
        <xdr:to>
          <xdr:col>20</xdr:col>
          <xdr:colOff>431800</xdr:colOff>
          <xdr:row>25</xdr:row>
          <xdr:rowOff>127000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E00-000003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참석자 서명부 출력하기</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212725</xdr:colOff>
      <xdr:row>0</xdr:row>
      <xdr:rowOff>352425</xdr:rowOff>
    </xdr:to>
    <xdr:sp macro="" textlink="">
      <xdr:nvSpPr>
        <xdr:cNvPr id="3" name="오각형 1">
          <a:hlinkClick xmlns:r="http://schemas.openxmlformats.org/officeDocument/2006/relationships" r:id="rId1"/>
          <a:extLst>
            <a:ext uri="{FF2B5EF4-FFF2-40B4-BE49-F238E27FC236}">
              <a16:creationId xmlns:a16="http://schemas.microsoft.com/office/drawing/2014/main" id="{00000000-0008-0000-0F00-000003000000}"/>
            </a:ext>
          </a:extLst>
        </xdr:cNvPr>
        <xdr:cNvSpPr/>
      </xdr:nvSpPr>
      <xdr:spPr>
        <a:xfrm>
          <a:off x="0" y="0"/>
          <a:ext cx="1279525" cy="352425"/>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21</xdr:col>
          <xdr:colOff>38100</xdr:colOff>
          <xdr:row>0</xdr:row>
          <xdr:rowOff>381000</xdr:rowOff>
        </xdr:from>
        <xdr:to>
          <xdr:col>24</xdr:col>
          <xdr:colOff>508000</xdr:colOff>
          <xdr:row>1</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출력하기</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514350</xdr:colOff>
          <xdr:row>15</xdr:row>
          <xdr:rowOff>76200</xdr:rowOff>
        </xdr:from>
        <xdr:to>
          <xdr:col>2</xdr:col>
          <xdr:colOff>723900</xdr:colOff>
          <xdr:row>15</xdr:row>
          <xdr:rowOff>247650</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1000-00000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209550</xdr:colOff>
          <xdr:row>15</xdr:row>
          <xdr:rowOff>69850</xdr:rowOff>
        </xdr:from>
        <xdr:to>
          <xdr:col>10</xdr:col>
          <xdr:colOff>171450</xdr:colOff>
          <xdr:row>15</xdr:row>
          <xdr:rowOff>241300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1000-00000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146050</xdr:colOff>
          <xdr:row>15</xdr:row>
          <xdr:rowOff>76200</xdr:rowOff>
        </xdr:from>
        <xdr:to>
          <xdr:col>6</xdr:col>
          <xdr:colOff>114300</xdr:colOff>
          <xdr:row>15</xdr:row>
          <xdr:rowOff>241300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1000-000003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431800</xdr:colOff>
          <xdr:row>15</xdr:row>
          <xdr:rowOff>69850</xdr:rowOff>
        </xdr:from>
        <xdr:to>
          <xdr:col>16</xdr:col>
          <xdr:colOff>641350</xdr:colOff>
          <xdr:row>15</xdr:row>
          <xdr:rowOff>241300</xdr:rowOff>
        </xdr:to>
        <xdr:sp macro="" textlink="">
          <xdr:nvSpPr>
            <xdr:cNvPr id="13316" name="Check Box 4" hidden="1">
              <a:extLst>
                <a:ext uri="{63B3BB69-23CF-44E3-9099-C40C66FF867C}">
                  <a14:compatExt spid="_x0000_s13316"/>
                </a:ext>
                <a:ext uri="{FF2B5EF4-FFF2-40B4-BE49-F238E27FC236}">
                  <a16:creationId xmlns:a16="http://schemas.microsoft.com/office/drawing/2014/main" id="{00000000-0008-0000-1000-000004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323850</xdr:colOff>
          <xdr:row>15</xdr:row>
          <xdr:rowOff>69850</xdr:rowOff>
        </xdr:from>
        <xdr:to>
          <xdr:col>17</xdr:col>
          <xdr:colOff>546100</xdr:colOff>
          <xdr:row>15</xdr:row>
          <xdr:rowOff>241300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1000-000005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17</xdr:row>
          <xdr:rowOff>95250</xdr:rowOff>
        </xdr:from>
        <xdr:to>
          <xdr:col>16</xdr:col>
          <xdr:colOff>222250</xdr:colOff>
          <xdr:row>17</xdr:row>
          <xdr:rowOff>260350</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1000-000006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29</xdr:row>
          <xdr:rowOff>12700</xdr:rowOff>
        </xdr:from>
        <xdr:to>
          <xdr:col>15</xdr:col>
          <xdr:colOff>171450</xdr:colOff>
          <xdr:row>29</xdr:row>
          <xdr:rowOff>184150</xdr:rowOff>
        </xdr:to>
        <xdr:sp macro="" textlink="">
          <xdr:nvSpPr>
            <xdr:cNvPr id="13319" name="Check Box 7" hidden="1">
              <a:extLst>
                <a:ext uri="{63B3BB69-23CF-44E3-9099-C40C66FF867C}">
                  <a14:compatExt spid="_x0000_s13319"/>
                </a:ext>
                <a:ext uri="{FF2B5EF4-FFF2-40B4-BE49-F238E27FC236}">
                  <a16:creationId xmlns:a16="http://schemas.microsoft.com/office/drawing/2014/main" id="{00000000-0008-0000-1000-000007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127000</xdr:colOff>
          <xdr:row>29</xdr:row>
          <xdr:rowOff>19050</xdr:rowOff>
        </xdr:from>
        <xdr:to>
          <xdr:col>8</xdr:col>
          <xdr:colOff>95250</xdr:colOff>
          <xdr:row>29</xdr:row>
          <xdr:rowOff>184150</xdr:rowOff>
        </xdr:to>
        <xdr:sp macro="" textlink="">
          <xdr:nvSpPr>
            <xdr:cNvPr id="13320" name="Check Box 8" hidden="1">
              <a:extLst>
                <a:ext uri="{63B3BB69-23CF-44E3-9099-C40C66FF867C}">
                  <a14:compatExt spid="_x0000_s13320"/>
                </a:ext>
                <a:ext uri="{FF2B5EF4-FFF2-40B4-BE49-F238E27FC236}">
                  <a16:creationId xmlns:a16="http://schemas.microsoft.com/office/drawing/2014/main" id="{00000000-0008-0000-1000-000008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29</xdr:row>
          <xdr:rowOff>19050</xdr:rowOff>
        </xdr:from>
        <xdr:to>
          <xdr:col>2</xdr:col>
          <xdr:colOff>247650</xdr:colOff>
          <xdr:row>29</xdr:row>
          <xdr:rowOff>184150</xdr:rowOff>
        </xdr:to>
        <xdr:sp macro="" textlink="">
          <xdr:nvSpPr>
            <xdr:cNvPr id="13321" name="Check Box 9" hidden="1">
              <a:extLst>
                <a:ext uri="{63B3BB69-23CF-44E3-9099-C40C66FF867C}">
                  <a14:compatExt spid="_x0000_s13321"/>
                </a:ext>
                <a:ext uri="{FF2B5EF4-FFF2-40B4-BE49-F238E27FC236}">
                  <a16:creationId xmlns:a16="http://schemas.microsoft.com/office/drawing/2014/main" id="{00000000-0008-0000-1000-000009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228600</xdr:colOff>
          <xdr:row>17</xdr:row>
          <xdr:rowOff>38100</xdr:rowOff>
        </xdr:from>
        <xdr:to>
          <xdr:col>17</xdr:col>
          <xdr:colOff>438150</xdr:colOff>
          <xdr:row>17</xdr:row>
          <xdr:rowOff>279400</xdr:rowOff>
        </xdr:to>
        <xdr:sp macro="" textlink="">
          <xdr:nvSpPr>
            <xdr:cNvPr id="13322" name="Check Box 10" hidden="1">
              <a:extLst>
                <a:ext uri="{63B3BB69-23CF-44E3-9099-C40C66FF867C}">
                  <a14:compatExt spid="_x0000_s13322"/>
                </a:ext>
                <a:ext uri="{FF2B5EF4-FFF2-40B4-BE49-F238E27FC236}">
                  <a16:creationId xmlns:a16="http://schemas.microsoft.com/office/drawing/2014/main" id="{00000000-0008-0000-1000-00000A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30</xdr:row>
          <xdr:rowOff>12700</xdr:rowOff>
        </xdr:from>
        <xdr:to>
          <xdr:col>2</xdr:col>
          <xdr:colOff>247650</xdr:colOff>
          <xdr:row>30</xdr:row>
          <xdr:rowOff>190500</xdr:rowOff>
        </xdr:to>
        <xdr:sp macro="" textlink="">
          <xdr:nvSpPr>
            <xdr:cNvPr id="13323" name="Check Box 11" hidden="1">
              <a:extLst>
                <a:ext uri="{63B3BB69-23CF-44E3-9099-C40C66FF867C}">
                  <a14:compatExt spid="_x0000_s13323"/>
                </a:ext>
                <a:ext uri="{FF2B5EF4-FFF2-40B4-BE49-F238E27FC236}">
                  <a16:creationId xmlns:a16="http://schemas.microsoft.com/office/drawing/2014/main" id="{00000000-0008-0000-1000-00000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127000</xdr:colOff>
          <xdr:row>30</xdr:row>
          <xdr:rowOff>0</xdr:rowOff>
        </xdr:from>
        <xdr:to>
          <xdr:col>8</xdr:col>
          <xdr:colOff>95250</xdr:colOff>
          <xdr:row>30</xdr:row>
          <xdr:rowOff>184150</xdr:rowOff>
        </xdr:to>
        <xdr:sp macro="" textlink="">
          <xdr:nvSpPr>
            <xdr:cNvPr id="13324" name="Check Box 12" hidden="1">
              <a:extLst>
                <a:ext uri="{63B3BB69-23CF-44E3-9099-C40C66FF867C}">
                  <a14:compatExt spid="_x0000_s13324"/>
                </a:ext>
                <a:ext uri="{FF2B5EF4-FFF2-40B4-BE49-F238E27FC236}">
                  <a16:creationId xmlns:a16="http://schemas.microsoft.com/office/drawing/2014/main" id="{00000000-0008-0000-1000-00000C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30</xdr:row>
          <xdr:rowOff>12700</xdr:rowOff>
        </xdr:from>
        <xdr:to>
          <xdr:col>15</xdr:col>
          <xdr:colOff>171450</xdr:colOff>
          <xdr:row>30</xdr:row>
          <xdr:rowOff>190500</xdr:rowOff>
        </xdr:to>
        <xdr:sp macro="" textlink="">
          <xdr:nvSpPr>
            <xdr:cNvPr id="13325" name="Check Box 13" hidden="1">
              <a:extLst>
                <a:ext uri="{63B3BB69-23CF-44E3-9099-C40C66FF867C}">
                  <a14:compatExt spid="_x0000_s13325"/>
                </a:ext>
                <a:ext uri="{FF2B5EF4-FFF2-40B4-BE49-F238E27FC236}">
                  <a16:creationId xmlns:a16="http://schemas.microsoft.com/office/drawing/2014/main" id="{00000000-0008-0000-1000-00000D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0</xdr:row>
      <xdr:rowOff>0</xdr:rowOff>
    </xdr:from>
    <xdr:to>
      <xdr:col>1</xdr:col>
      <xdr:colOff>1109381</xdr:colOff>
      <xdr:row>0</xdr:row>
      <xdr:rowOff>302559</xdr:rowOff>
    </xdr:to>
    <xdr:sp macro="" textlink="">
      <xdr:nvSpPr>
        <xdr:cNvPr id="16" name="오각형 3">
          <a:hlinkClick xmlns:r="http://schemas.openxmlformats.org/officeDocument/2006/relationships" r:id="rId1"/>
          <a:extLst>
            <a:ext uri="{FF2B5EF4-FFF2-40B4-BE49-F238E27FC236}">
              <a16:creationId xmlns:a16="http://schemas.microsoft.com/office/drawing/2014/main" id="{00000000-0008-0000-1000-000010000000}"/>
            </a:ext>
          </a:extLst>
        </xdr:cNvPr>
        <xdr:cNvSpPr/>
      </xdr:nvSpPr>
      <xdr:spPr>
        <a:xfrm>
          <a:off x="0" y="0"/>
          <a:ext cx="1423146"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2</xdr:col>
          <xdr:colOff>762000</xdr:colOff>
          <xdr:row>56</xdr:row>
          <xdr:rowOff>127000</xdr:rowOff>
        </xdr:from>
        <xdr:to>
          <xdr:col>14</xdr:col>
          <xdr:colOff>95250</xdr:colOff>
          <xdr:row>58</xdr:row>
          <xdr:rowOff>69850</xdr:rowOff>
        </xdr:to>
        <xdr:sp macro="" textlink="">
          <xdr:nvSpPr>
            <xdr:cNvPr id="13332" name="Button 20" hidden="1">
              <a:extLst>
                <a:ext uri="{63B3BB69-23CF-44E3-9099-C40C66FF867C}">
                  <a14:compatExt spid="_x0000_s13332"/>
                </a:ext>
                <a:ext uri="{FF2B5EF4-FFF2-40B4-BE49-F238E27FC236}">
                  <a16:creationId xmlns:a16="http://schemas.microsoft.com/office/drawing/2014/main" id="{00000000-0008-0000-1000-00001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외화송금신청서 출력하기 </a:t>
              </a:r>
              <a:r>
                <a:rPr lang="ko-KR" altLang="en-US" sz="800" b="0" i="0" u="none" strike="noStrike" baseline="0">
                  <a:solidFill>
                    <a:srgbClr val="000000"/>
                  </a:solidFill>
                  <a:latin typeface="맑은 고딕"/>
                  <a:ea typeface="맑은 고딕"/>
                </a:rPr>
                <a:t>(2023.07.28. 개정)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30</xdr:col>
          <xdr:colOff>400050</xdr:colOff>
          <xdr:row>13</xdr:row>
          <xdr:rowOff>304800</xdr:rowOff>
        </xdr:from>
        <xdr:to>
          <xdr:col>30</xdr:col>
          <xdr:colOff>603250</xdr:colOff>
          <xdr:row>15</xdr:row>
          <xdr:rowOff>107950</xdr:rowOff>
        </xdr:to>
        <xdr:sp macro="" textlink="">
          <xdr:nvSpPr>
            <xdr:cNvPr id="13333" name="Check Box 21" hidden="1">
              <a:extLst>
                <a:ext uri="{63B3BB69-23CF-44E3-9099-C40C66FF867C}">
                  <a14:compatExt spid="_x0000_s13333"/>
                </a:ext>
                <a:ext uri="{FF2B5EF4-FFF2-40B4-BE49-F238E27FC236}">
                  <a16:creationId xmlns:a16="http://schemas.microsoft.com/office/drawing/2014/main" id="{00000000-0008-0000-1000-000015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400050</xdr:colOff>
          <xdr:row>15</xdr:row>
          <xdr:rowOff>76200</xdr:rowOff>
        </xdr:from>
        <xdr:to>
          <xdr:col>30</xdr:col>
          <xdr:colOff>603250</xdr:colOff>
          <xdr:row>15</xdr:row>
          <xdr:rowOff>247650</xdr:rowOff>
        </xdr:to>
        <xdr:sp macro="" textlink="">
          <xdr:nvSpPr>
            <xdr:cNvPr id="13334" name="Check Box 22" hidden="1">
              <a:extLst>
                <a:ext uri="{63B3BB69-23CF-44E3-9099-C40C66FF867C}">
                  <a14:compatExt spid="_x0000_s13334"/>
                </a:ext>
                <a:ext uri="{FF2B5EF4-FFF2-40B4-BE49-F238E27FC236}">
                  <a16:creationId xmlns:a16="http://schemas.microsoft.com/office/drawing/2014/main" id="{00000000-0008-0000-1000-000016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400050</xdr:colOff>
          <xdr:row>17</xdr:row>
          <xdr:rowOff>152400</xdr:rowOff>
        </xdr:from>
        <xdr:to>
          <xdr:col>30</xdr:col>
          <xdr:colOff>603250</xdr:colOff>
          <xdr:row>18</xdr:row>
          <xdr:rowOff>0</xdr:rowOff>
        </xdr:to>
        <xdr:sp macro="" textlink="">
          <xdr:nvSpPr>
            <xdr:cNvPr id="13335" name="Check Box 23" hidden="1">
              <a:extLst>
                <a:ext uri="{63B3BB69-23CF-44E3-9099-C40C66FF867C}">
                  <a14:compatExt spid="_x0000_s13335"/>
                </a:ext>
                <a:ext uri="{FF2B5EF4-FFF2-40B4-BE49-F238E27FC236}">
                  <a16:creationId xmlns:a16="http://schemas.microsoft.com/office/drawing/2014/main" id="{00000000-0008-0000-1000-000017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400050</xdr:colOff>
          <xdr:row>18</xdr:row>
          <xdr:rowOff>12700</xdr:rowOff>
        </xdr:from>
        <xdr:to>
          <xdr:col>30</xdr:col>
          <xdr:colOff>603250</xdr:colOff>
          <xdr:row>19</xdr:row>
          <xdr:rowOff>133350</xdr:rowOff>
        </xdr:to>
        <xdr:sp macro="" textlink="">
          <xdr:nvSpPr>
            <xdr:cNvPr id="13336" name="Check Box 24" hidden="1">
              <a:extLst>
                <a:ext uri="{63B3BB69-23CF-44E3-9099-C40C66FF867C}">
                  <a14:compatExt spid="_x0000_s13336"/>
                </a:ext>
                <a:ext uri="{FF2B5EF4-FFF2-40B4-BE49-F238E27FC236}">
                  <a16:creationId xmlns:a16="http://schemas.microsoft.com/office/drawing/2014/main" id="{00000000-0008-0000-1000-000018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400050</xdr:colOff>
          <xdr:row>22</xdr:row>
          <xdr:rowOff>76200</xdr:rowOff>
        </xdr:from>
        <xdr:to>
          <xdr:col>30</xdr:col>
          <xdr:colOff>603250</xdr:colOff>
          <xdr:row>23</xdr:row>
          <xdr:rowOff>38100</xdr:rowOff>
        </xdr:to>
        <xdr:sp macro="" textlink="">
          <xdr:nvSpPr>
            <xdr:cNvPr id="13337" name="Check Box 25" hidden="1">
              <a:extLst>
                <a:ext uri="{63B3BB69-23CF-44E3-9099-C40C66FF867C}">
                  <a14:compatExt spid="_x0000_s13337"/>
                </a:ext>
                <a:ext uri="{FF2B5EF4-FFF2-40B4-BE49-F238E27FC236}">
                  <a16:creationId xmlns:a16="http://schemas.microsoft.com/office/drawing/2014/main" id="{00000000-0008-0000-1000-000019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400050</xdr:colOff>
          <xdr:row>23</xdr:row>
          <xdr:rowOff>50800</xdr:rowOff>
        </xdr:from>
        <xdr:to>
          <xdr:col>30</xdr:col>
          <xdr:colOff>603250</xdr:colOff>
          <xdr:row>24</xdr:row>
          <xdr:rowOff>50800</xdr:rowOff>
        </xdr:to>
        <xdr:sp macro="" textlink="">
          <xdr:nvSpPr>
            <xdr:cNvPr id="13338" name="Check Box 26" hidden="1">
              <a:extLst>
                <a:ext uri="{63B3BB69-23CF-44E3-9099-C40C66FF867C}">
                  <a14:compatExt spid="_x0000_s13338"/>
                </a:ext>
                <a:ext uri="{FF2B5EF4-FFF2-40B4-BE49-F238E27FC236}">
                  <a16:creationId xmlns:a16="http://schemas.microsoft.com/office/drawing/2014/main" id="{00000000-0008-0000-1000-00001A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457200</xdr:colOff>
          <xdr:row>49</xdr:row>
          <xdr:rowOff>50800</xdr:rowOff>
        </xdr:from>
        <xdr:to>
          <xdr:col>29</xdr:col>
          <xdr:colOff>450850</xdr:colOff>
          <xdr:row>51</xdr:row>
          <xdr:rowOff>12700</xdr:rowOff>
        </xdr:to>
        <xdr:sp macro="" textlink="">
          <xdr:nvSpPr>
            <xdr:cNvPr id="13343" name="Button 31" hidden="1">
              <a:extLst>
                <a:ext uri="{63B3BB69-23CF-44E3-9099-C40C66FF867C}">
                  <a14:compatExt spid="_x0000_s13343"/>
                </a:ext>
                <a:ext uri="{FF2B5EF4-FFF2-40B4-BE49-F238E27FC236}">
                  <a16:creationId xmlns:a16="http://schemas.microsoft.com/office/drawing/2014/main" id="{00000000-0008-0000-1000-00001F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대리납부 체크리스트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184150</xdr:colOff>
          <xdr:row>35</xdr:row>
          <xdr:rowOff>76200</xdr:rowOff>
        </xdr:from>
        <xdr:to>
          <xdr:col>2</xdr:col>
          <xdr:colOff>393700</xdr:colOff>
          <xdr:row>35</xdr:row>
          <xdr:rowOff>241300</xdr:rowOff>
        </xdr:to>
        <xdr:sp macro="" textlink="">
          <xdr:nvSpPr>
            <xdr:cNvPr id="13344" name="Check Box 32" hidden="1">
              <a:extLst>
                <a:ext uri="{63B3BB69-23CF-44E3-9099-C40C66FF867C}">
                  <a14:compatExt spid="_x0000_s13344"/>
                </a:ext>
                <a:ext uri="{FF2B5EF4-FFF2-40B4-BE49-F238E27FC236}">
                  <a16:creationId xmlns:a16="http://schemas.microsoft.com/office/drawing/2014/main" id="{00000000-0008-0000-1000-000020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69850</xdr:colOff>
          <xdr:row>35</xdr:row>
          <xdr:rowOff>88900</xdr:rowOff>
        </xdr:from>
        <xdr:to>
          <xdr:col>11</xdr:col>
          <xdr:colOff>31750</xdr:colOff>
          <xdr:row>35</xdr:row>
          <xdr:rowOff>247650</xdr:rowOff>
        </xdr:to>
        <xdr:sp macro="" textlink="">
          <xdr:nvSpPr>
            <xdr:cNvPr id="13345" name="Check Box 33" hidden="1">
              <a:extLst>
                <a:ext uri="{63B3BB69-23CF-44E3-9099-C40C66FF867C}">
                  <a14:compatExt spid="_x0000_s13345"/>
                </a:ext>
                <a:ext uri="{FF2B5EF4-FFF2-40B4-BE49-F238E27FC236}">
                  <a16:creationId xmlns:a16="http://schemas.microsoft.com/office/drawing/2014/main" id="{00000000-0008-0000-1000-00002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431800</xdr:colOff>
          <xdr:row>35</xdr:row>
          <xdr:rowOff>88900</xdr:rowOff>
        </xdr:from>
        <xdr:to>
          <xdr:col>16</xdr:col>
          <xdr:colOff>641350</xdr:colOff>
          <xdr:row>35</xdr:row>
          <xdr:rowOff>247650</xdr:rowOff>
        </xdr:to>
        <xdr:sp macro="" textlink="">
          <xdr:nvSpPr>
            <xdr:cNvPr id="13346" name="Check Box 34" hidden="1">
              <a:extLst>
                <a:ext uri="{63B3BB69-23CF-44E3-9099-C40C66FF867C}">
                  <a14:compatExt spid="_x0000_s13346"/>
                </a:ext>
                <a:ext uri="{FF2B5EF4-FFF2-40B4-BE49-F238E27FC236}">
                  <a16:creationId xmlns:a16="http://schemas.microsoft.com/office/drawing/2014/main" id="{00000000-0008-0000-1000-00002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37</xdr:row>
          <xdr:rowOff>0</xdr:rowOff>
        </xdr:from>
        <xdr:to>
          <xdr:col>17</xdr:col>
          <xdr:colOff>247650</xdr:colOff>
          <xdr:row>37</xdr:row>
          <xdr:rowOff>165100</xdr:rowOff>
        </xdr:to>
        <xdr:sp macro="" textlink="">
          <xdr:nvSpPr>
            <xdr:cNvPr id="13347" name="Check Box 35" hidden="1">
              <a:extLst>
                <a:ext uri="{63B3BB69-23CF-44E3-9099-C40C66FF867C}">
                  <a14:compatExt spid="_x0000_s13347"/>
                </a:ext>
                <a:ext uri="{FF2B5EF4-FFF2-40B4-BE49-F238E27FC236}">
                  <a16:creationId xmlns:a16="http://schemas.microsoft.com/office/drawing/2014/main" id="{00000000-0008-0000-1000-000023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38</xdr:row>
          <xdr:rowOff>0</xdr:rowOff>
        </xdr:from>
        <xdr:to>
          <xdr:col>17</xdr:col>
          <xdr:colOff>247650</xdr:colOff>
          <xdr:row>38</xdr:row>
          <xdr:rowOff>165100</xdr:rowOff>
        </xdr:to>
        <xdr:sp macro="" textlink="">
          <xdr:nvSpPr>
            <xdr:cNvPr id="13348" name="Check Box 36" hidden="1">
              <a:extLst>
                <a:ext uri="{63B3BB69-23CF-44E3-9099-C40C66FF867C}">
                  <a14:compatExt spid="_x0000_s13348"/>
                </a:ext>
                <a:ext uri="{FF2B5EF4-FFF2-40B4-BE49-F238E27FC236}">
                  <a16:creationId xmlns:a16="http://schemas.microsoft.com/office/drawing/2014/main" id="{00000000-0008-0000-1000-000024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41</xdr:row>
          <xdr:rowOff>38100</xdr:rowOff>
        </xdr:from>
        <xdr:to>
          <xdr:col>9</xdr:col>
          <xdr:colOff>228600</xdr:colOff>
          <xdr:row>41</xdr:row>
          <xdr:rowOff>203200</xdr:rowOff>
        </xdr:to>
        <xdr:sp macro="" textlink="">
          <xdr:nvSpPr>
            <xdr:cNvPr id="13349" name="Check Box 37" hidden="1">
              <a:extLst>
                <a:ext uri="{63B3BB69-23CF-44E3-9099-C40C66FF867C}">
                  <a14:compatExt spid="_x0000_s13349"/>
                </a:ext>
                <a:ext uri="{FF2B5EF4-FFF2-40B4-BE49-F238E27FC236}">
                  <a16:creationId xmlns:a16="http://schemas.microsoft.com/office/drawing/2014/main" id="{00000000-0008-0000-1000-000025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34</xdr:row>
          <xdr:rowOff>38100</xdr:rowOff>
        </xdr:from>
        <xdr:to>
          <xdr:col>2</xdr:col>
          <xdr:colOff>514350</xdr:colOff>
          <xdr:row>34</xdr:row>
          <xdr:rowOff>203200</xdr:rowOff>
        </xdr:to>
        <xdr:sp macro="" textlink="">
          <xdr:nvSpPr>
            <xdr:cNvPr id="13350" name="Check Box 38" hidden="1">
              <a:extLst>
                <a:ext uri="{63B3BB69-23CF-44E3-9099-C40C66FF867C}">
                  <a14:compatExt spid="_x0000_s13350"/>
                </a:ext>
                <a:ext uri="{FF2B5EF4-FFF2-40B4-BE49-F238E27FC236}">
                  <a16:creationId xmlns:a16="http://schemas.microsoft.com/office/drawing/2014/main" id="{00000000-0008-0000-1000-000026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171450</xdr:colOff>
          <xdr:row>34</xdr:row>
          <xdr:rowOff>50800</xdr:rowOff>
        </xdr:from>
        <xdr:to>
          <xdr:col>14</xdr:col>
          <xdr:colOff>146050</xdr:colOff>
          <xdr:row>34</xdr:row>
          <xdr:rowOff>209550</xdr:rowOff>
        </xdr:to>
        <xdr:sp macro="" textlink="">
          <xdr:nvSpPr>
            <xdr:cNvPr id="13351" name="Check Box 39" hidden="1">
              <a:extLst>
                <a:ext uri="{63B3BB69-23CF-44E3-9099-C40C66FF867C}">
                  <a14:compatExt spid="_x0000_s13351"/>
                </a:ext>
                <a:ext uri="{FF2B5EF4-FFF2-40B4-BE49-F238E27FC236}">
                  <a16:creationId xmlns:a16="http://schemas.microsoft.com/office/drawing/2014/main" id="{00000000-0008-0000-1000-000027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37</xdr:row>
          <xdr:rowOff>88900</xdr:rowOff>
        </xdr:from>
        <xdr:to>
          <xdr:col>2</xdr:col>
          <xdr:colOff>742950</xdr:colOff>
          <xdr:row>38</xdr:row>
          <xdr:rowOff>76200</xdr:rowOff>
        </xdr:to>
        <xdr:sp macro="" textlink="">
          <xdr:nvSpPr>
            <xdr:cNvPr id="13352" name="Check Box 40" hidden="1">
              <a:extLst>
                <a:ext uri="{63B3BB69-23CF-44E3-9099-C40C66FF867C}">
                  <a14:compatExt spid="_x0000_s13352"/>
                </a:ext>
                <a:ext uri="{FF2B5EF4-FFF2-40B4-BE49-F238E27FC236}">
                  <a16:creationId xmlns:a16="http://schemas.microsoft.com/office/drawing/2014/main" id="{00000000-0008-0000-1000-000028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146050</xdr:colOff>
          <xdr:row>37</xdr:row>
          <xdr:rowOff>76200</xdr:rowOff>
        </xdr:from>
        <xdr:to>
          <xdr:col>10</xdr:col>
          <xdr:colOff>114300</xdr:colOff>
          <xdr:row>38</xdr:row>
          <xdr:rowOff>69850</xdr:rowOff>
        </xdr:to>
        <xdr:sp macro="" textlink="">
          <xdr:nvSpPr>
            <xdr:cNvPr id="13353" name="Check Box 41" hidden="1">
              <a:extLst>
                <a:ext uri="{63B3BB69-23CF-44E3-9099-C40C66FF867C}">
                  <a14:compatExt spid="_x0000_s13353"/>
                </a:ext>
                <a:ext uri="{FF2B5EF4-FFF2-40B4-BE49-F238E27FC236}">
                  <a16:creationId xmlns:a16="http://schemas.microsoft.com/office/drawing/2014/main" id="{00000000-0008-0000-1000-000029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400050</xdr:colOff>
          <xdr:row>28</xdr:row>
          <xdr:rowOff>31750</xdr:rowOff>
        </xdr:from>
        <xdr:to>
          <xdr:col>30</xdr:col>
          <xdr:colOff>603250</xdr:colOff>
          <xdr:row>28</xdr:row>
          <xdr:rowOff>203200</xdr:rowOff>
        </xdr:to>
        <xdr:sp macro="" textlink="">
          <xdr:nvSpPr>
            <xdr:cNvPr id="13354" name="Check Box 42" hidden="1">
              <a:extLst>
                <a:ext uri="{63B3BB69-23CF-44E3-9099-C40C66FF867C}">
                  <a14:compatExt spid="_x0000_s13354"/>
                </a:ext>
                <a:ext uri="{FF2B5EF4-FFF2-40B4-BE49-F238E27FC236}">
                  <a16:creationId xmlns:a16="http://schemas.microsoft.com/office/drawing/2014/main" id="{00000000-0008-0000-1000-00002A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400050</xdr:colOff>
          <xdr:row>27</xdr:row>
          <xdr:rowOff>95250</xdr:rowOff>
        </xdr:from>
        <xdr:to>
          <xdr:col>30</xdr:col>
          <xdr:colOff>603250</xdr:colOff>
          <xdr:row>28</xdr:row>
          <xdr:rowOff>50800</xdr:rowOff>
        </xdr:to>
        <xdr:sp macro="" textlink="">
          <xdr:nvSpPr>
            <xdr:cNvPr id="13355" name="Check Box 43" hidden="1">
              <a:extLst>
                <a:ext uri="{63B3BB69-23CF-44E3-9099-C40C66FF867C}">
                  <a14:compatExt spid="_x0000_s13355"/>
                </a:ext>
                <a:ext uri="{FF2B5EF4-FFF2-40B4-BE49-F238E27FC236}">
                  <a16:creationId xmlns:a16="http://schemas.microsoft.com/office/drawing/2014/main" id="{00000000-0008-0000-1000-00002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1</xdr:col>
      <xdr:colOff>0</xdr:colOff>
      <xdr:row>0</xdr:row>
      <xdr:rowOff>0</xdr:rowOff>
    </xdr:from>
    <xdr:to>
      <xdr:col>3</xdr:col>
      <xdr:colOff>212912</xdr:colOff>
      <xdr:row>0</xdr:row>
      <xdr:rowOff>302559</xdr:rowOff>
    </xdr:to>
    <xdr:sp macro="" textlink="">
      <xdr:nvSpPr>
        <xdr:cNvPr id="2" name="오각형 3">
          <a:hlinkClick xmlns:r="http://schemas.openxmlformats.org/officeDocument/2006/relationships" r:id="rId1"/>
          <a:extLst>
            <a:ext uri="{FF2B5EF4-FFF2-40B4-BE49-F238E27FC236}">
              <a16:creationId xmlns:a16="http://schemas.microsoft.com/office/drawing/2014/main" id="{00000000-0008-0000-1100-000002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4</xdr:col>
          <xdr:colOff>488950</xdr:colOff>
          <xdr:row>19</xdr:row>
          <xdr:rowOff>19050</xdr:rowOff>
        </xdr:from>
        <xdr:to>
          <xdr:col>7</xdr:col>
          <xdr:colOff>431800</xdr:colOff>
          <xdr:row>20</xdr:row>
          <xdr:rowOff>171450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11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1" i="0" u="none" strike="noStrike" baseline="0">
                  <a:solidFill>
                    <a:srgbClr val="000000"/>
                  </a:solidFill>
                  <a:latin typeface="맑은 고딕"/>
                  <a:ea typeface="맑은 고딕"/>
                </a:rPr>
                <a:t>출력하기</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1200150</xdr:colOff>
          <xdr:row>13</xdr:row>
          <xdr:rowOff>203200</xdr:rowOff>
        </xdr:from>
        <xdr:to>
          <xdr:col>4</xdr:col>
          <xdr:colOff>1670050</xdr:colOff>
          <xdr:row>15</xdr:row>
          <xdr:rowOff>12700</xdr:rowOff>
        </xdr:to>
        <xdr:sp macro="" textlink="">
          <xdr:nvSpPr>
            <xdr:cNvPr id="15361" name="Option Button 1" hidden="1">
              <a:extLst>
                <a:ext uri="{63B3BB69-23CF-44E3-9099-C40C66FF867C}">
                  <a14:compatExt spid="_x0000_s15361"/>
                </a:ext>
                <a:ext uri="{FF2B5EF4-FFF2-40B4-BE49-F238E27FC236}">
                  <a16:creationId xmlns:a16="http://schemas.microsoft.com/office/drawing/2014/main" id="{00000000-0008-0000-1200-00000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900" b="0" i="0" u="none" strike="noStrike" baseline="0">
                  <a:solidFill>
                    <a:srgbClr val="000000"/>
                  </a:solidFill>
                  <a:latin typeface="굴림"/>
                  <a:ea typeface="굴림"/>
                </a:rPr>
                <a:t>총액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3136900</xdr:colOff>
          <xdr:row>13</xdr:row>
          <xdr:rowOff>203200</xdr:rowOff>
        </xdr:from>
        <xdr:to>
          <xdr:col>4</xdr:col>
          <xdr:colOff>1047750</xdr:colOff>
          <xdr:row>15</xdr:row>
          <xdr:rowOff>12700</xdr:rowOff>
        </xdr:to>
        <xdr:sp macro="" textlink="">
          <xdr:nvSpPr>
            <xdr:cNvPr id="15362" name="Option Button 2" hidden="1">
              <a:extLst>
                <a:ext uri="{63B3BB69-23CF-44E3-9099-C40C66FF867C}">
                  <a14:compatExt spid="_x0000_s15362"/>
                </a:ext>
                <a:ext uri="{FF2B5EF4-FFF2-40B4-BE49-F238E27FC236}">
                  <a16:creationId xmlns:a16="http://schemas.microsoft.com/office/drawing/2014/main" id="{00000000-0008-0000-1200-00000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900" b="0" i="0" u="none" strike="noStrike" baseline="0">
                  <a:solidFill>
                    <a:srgbClr val="000000"/>
                  </a:solidFill>
                  <a:latin typeface="굴림"/>
                  <a:ea typeface="굴림"/>
                </a:rPr>
                <a:t>인건비 포함 직접비</a:t>
              </a:r>
            </a:p>
          </xdr:txBody>
        </xdr:sp>
        <xdr:clientData/>
      </xdr:twoCellAnchor>
    </mc:Choice>
    <mc:Fallback/>
  </mc:AlternateContent>
  <xdr:twoCellAnchor>
    <xdr:from>
      <xdr:col>0</xdr:col>
      <xdr:colOff>0</xdr:colOff>
      <xdr:row>0</xdr:row>
      <xdr:rowOff>0</xdr:rowOff>
    </xdr:from>
    <xdr:to>
      <xdr:col>2</xdr:col>
      <xdr:colOff>879662</xdr:colOff>
      <xdr:row>0</xdr:row>
      <xdr:rowOff>302559</xdr:rowOff>
    </xdr:to>
    <xdr:sp macro="" textlink="">
      <xdr:nvSpPr>
        <xdr:cNvPr id="4" name="오각형 3">
          <a:hlinkClick xmlns:r="http://schemas.openxmlformats.org/officeDocument/2006/relationships" r:id="rId1"/>
          <a:extLst>
            <a:ext uri="{FF2B5EF4-FFF2-40B4-BE49-F238E27FC236}">
              <a16:creationId xmlns:a16="http://schemas.microsoft.com/office/drawing/2014/main" id="{00000000-0008-0000-1200-000004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srnd/AppData/Local/Microsoft/Windows/INetCache/IE/3WGFO506/&#50808;&#48512;&#50672;&#44396;&#50896;&#46321;&#47197;_Sample.xlsx" TargetMode="External"/><Relationship Id="rId1" Type="http://schemas.openxmlformats.org/officeDocument/2006/relationships/externalLinkPath" Target="/Users/srnd/AppData/Local/Microsoft/Windows/INetCache/IE/3WGFO506/&#50808;&#48512;&#50672;&#44396;&#50896;&#46321;&#47197;_Samp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heet1"/>
      <sheetName val="Sheet2"/>
      <sheetName val="인건비지급단가"/>
      <sheetName val="참고"/>
      <sheetName val="참조2"/>
      <sheetName val="출장지"/>
    </sheetNames>
    <sheetDataSet>
      <sheetData sheetId="0" refreshError="1"/>
      <sheetData sheetId="1">
        <row r="2">
          <cell r="A2" t="str">
            <v>한국</v>
          </cell>
        </row>
        <row r="3">
          <cell r="A3" t="str">
            <v>미국</v>
          </cell>
        </row>
        <row r="4">
          <cell r="A4" t="str">
            <v>중국</v>
          </cell>
        </row>
        <row r="5">
          <cell r="A5" t="str">
            <v>일본</v>
          </cell>
        </row>
        <row r="6">
          <cell r="A6" t="str">
            <v>솔로몬</v>
          </cell>
        </row>
        <row r="7">
          <cell r="A7" t="str">
            <v>체코</v>
          </cell>
        </row>
        <row r="8">
          <cell r="A8" t="str">
            <v>인도</v>
          </cell>
        </row>
        <row r="9">
          <cell r="A9" t="str">
            <v>조지아</v>
          </cell>
        </row>
        <row r="10">
          <cell r="A10" t="str">
            <v>캐나다</v>
          </cell>
        </row>
        <row r="11">
          <cell r="A11" t="str">
            <v>스웨덴</v>
          </cell>
        </row>
        <row r="12">
          <cell r="A12" t="str">
            <v>캄보디아</v>
          </cell>
        </row>
        <row r="13">
          <cell r="A13" t="str">
            <v>몽골</v>
          </cell>
        </row>
        <row r="14">
          <cell r="A14" t="str">
            <v>감비아</v>
          </cell>
        </row>
        <row r="15">
          <cell r="A15" t="str">
            <v>안타티카</v>
          </cell>
        </row>
        <row r="16">
          <cell r="A16" t="str">
            <v>온두라스</v>
          </cell>
        </row>
        <row r="17">
          <cell r="A17" t="str">
            <v>말리</v>
          </cell>
        </row>
        <row r="18">
          <cell r="A18" t="str">
            <v>마샬군도</v>
          </cell>
        </row>
        <row r="19">
          <cell r="A19" t="str">
            <v>영령 인도양</v>
          </cell>
        </row>
        <row r="20">
          <cell r="A20" t="str">
            <v>투발루</v>
          </cell>
        </row>
        <row r="21">
          <cell r="A21" t="str">
            <v>세인트 피레 미켈론</v>
          </cell>
        </row>
        <row r="22">
          <cell r="A22" t="str">
            <v>스발비드 군도</v>
          </cell>
        </row>
        <row r="23">
          <cell r="A23" t="str">
            <v xml:space="preserve">파라과이 </v>
          </cell>
        </row>
        <row r="24">
          <cell r="A24" t="str">
            <v>아루바</v>
          </cell>
        </row>
        <row r="25">
          <cell r="A25" t="str">
            <v>발로</v>
          </cell>
        </row>
        <row r="26">
          <cell r="A26" t="str">
            <v>라오스</v>
          </cell>
        </row>
        <row r="27">
          <cell r="A27" t="str">
            <v>태국</v>
          </cell>
        </row>
        <row r="28">
          <cell r="A28" t="str">
            <v>마카오</v>
          </cell>
        </row>
        <row r="29">
          <cell r="A29" t="str">
            <v>가봉</v>
          </cell>
        </row>
        <row r="30">
          <cell r="A30" t="str">
            <v>말라위</v>
          </cell>
        </row>
        <row r="31">
          <cell r="A31" t="str">
            <v>불령 가이아나</v>
          </cell>
        </row>
        <row r="32">
          <cell r="A32" t="str">
            <v>세이쉘</v>
          </cell>
        </row>
        <row r="33">
          <cell r="A33" t="str">
            <v>폴란드</v>
          </cell>
        </row>
        <row r="34">
          <cell r="A34" t="str">
            <v>쿠웨이트</v>
          </cell>
        </row>
        <row r="35">
          <cell r="A35" t="str">
            <v>아이슬란드</v>
          </cell>
        </row>
        <row r="36">
          <cell r="A36" t="str">
            <v>자이레</v>
          </cell>
        </row>
        <row r="37">
          <cell r="A37" t="str">
            <v>레바논</v>
          </cell>
        </row>
        <row r="38">
          <cell r="A38" t="str">
            <v>레소토</v>
          </cell>
        </row>
        <row r="39">
          <cell r="A39" t="str">
            <v>북마리아나 군도</v>
          </cell>
        </row>
        <row r="40">
          <cell r="A40" t="str">
            <v xml:space="preserve">코트디부아르 </v>
          </cell>
        </row>
        <row r="41">
          <cell r="A41" t="str">
            <v xml:space="preserve">토켈라우 </v>
          </cell>
        </row>
        <row r="42">
          <cell r="A42" t="str">
            <v>포르투갈</v>
          </cell>
        </row>
        <row r="43">
          <cell r="A43" t="str">
            <v>벨기에</v>
          </cell>
        </row>
        <row r="44">
          <cell r="A44" t="str">
            <v>바베이도스</v>
          </cell>
        </row>
        <row r="45">
          <cell r="A45" t="str">
            <v>안도라</v>
          </cell>
        </row>
        <row r="46">
          <cell r="A46" t="str">
            <v>유고슬라비아</v>
          </cell>
        </row>
        <row r="47">
          <cell r="A47" t="str">
            <v>벨라루스</v>
          </cell>
        </row>
        <row r="48">
          <cell r="A48" t="str">
            <v>쿡 제도</v>
          </cell>
        </row>
        <row r="49">
          <cell r="A49" t="str">
            <v>남조지아 &amp; 남샌드위치 군도</v>
          </cell>
        </row>
        <row r="50">
          <cell r="A50" t="str">
            <v>아르메니아</v>
          </cell>
        </row>
        <row r="51">
          <cell r="A51" t="str">
            <v>요르단</v>
          </cell>
        </row>
        <row r="52">
          <cell r="A52" t="str">
            <v>이집트</v>
          </cell>
        </row>
        <row r="53">
          <cell r="A53" t="str">
            <v>인도네시아</v>
          </cell>
        </row>
        <row r="54">
          <cell r="A54" t="str">
            <v>카메룬</v>
          </cell>
        </row>
        <row r="55">
          <cell r="A55" t="str">
            <v>코모로</v>
          </cell>
        </row>
        <row r="56">
          <cell r="A56" t="str">
            <v>콜롬비아</v>
          </cell>
        </row>
        <row r="57">
          <cell r="A57" t="str">
            <v>쿠바</v>
          </cell>
        </row>
        <row r="58">
          <cell r="A58" t="str">
            <v>트리니다드토바고</v>
          </cell>
        </row>
        <row r="59">
          <cell r="A59" t="str">
            <v>파푸아뉴기니</v>
          </cell>
        </row>
        <row r="60">
          <cell r="A60" t="str">
            <v>프랑스</v>
          </cell>
        </row>
        <row r="61">
          <cell r="A61" t="str">
            <v>호주</v>
          </cell>
        </row>
        <row r="62">
          <cell r="A62" t="str">
            <v>과델로프</v>
          </cell>
        </row>
        <row r="63">
          <cell r="A63" t="str">
            <v>뉴 칼레도니아</v>
          </cell>
        </row>
        <row r="64">
          <cell r="A64" t="str">
            <v>바티칸 시티</v>
          </cell>
        </row>
        <row r="65">
          <cell r="A65" t="str">
            <v>보스니아헤르체고비나</v>
          </cell>
        </row>
        <row r="66">
          <cell r="A66" t="str">
            <v>세인트 키츠 네비스</v>
          </cell>
        </row>
        <row r="67">
          <cell r="A67" t="str">
            <v>싱가포르</v>
          </cell>
        </row>
        <row r="68">
          <cell r="A68" t="str">
            <v xml:space="preserve">아랍에미리트 </v>
          </cell>
        </row>
        <row r="69">
          <cell r="A69" t="str">
            <v>안굴리아</v>
          </cell>
        </row>
        <row r="70">
          <cell r="A70" t="str">
            <v>적도 기니</v>
          </cell>
        </row>
        <row r="71">
          <cell r="A71" t="str">
            <v>소말리아</v>
          </cell>
        </row>
        <row r="72">
          <cell r="A72" t="str">
            <v>룩셈브르크</v>
          </cell>
        </row>
        <row r="73">
          <cell r="A73" t="str">
            <v>홍콩</v>
          </cell>
        </row>
        <row r="74">
          <cell r="A74" t="str">
            <v>이란</v>
          </cell>
        </row>
        <row r="75">
          <cell r="A75" t="str">
            <v>이스라엘</v>
          </cell>
        </row>
        <row r="76">
          <cell r="A76" t="str">
            <v>크메르</v>
          </cell>
        </row>
        <row r="77">
          <cell r="A77" t="str">
            <v>몰디브</v>
          </cell>
        </row>
        <row r="78">
          <cell r="A78" t="str">
            <v>오만</v>
          </cell>
        </row>
        <row r="79">
          <cell r="A79" t="str">
            <v>필리핀</v>
          </cell>
        </row>
        <row r="80">
          <cell r="A80" t="str">
            <v>사우디아라비아</v>
          </cell>
        </row>
        <row r="81">
          <cell r="A81" t="str">
            <v>스리랑카</v>
          </cell>
        </row>
        <row r="82">
          <cell r="A82" t="str">
            <v>시리아</v>
          </cell>
        </row>
        <row r="83">
          <cell r="A83" t="str">
            <v>터키</v>
          </cell>
        </row>
        <row r="84">
          <cell r="A84" t="str">
            <v>예멘</v>
          </cell>
        </row>
        <row r="85">
          <cell r="A85" t="str">
            <v>미크로네시아</v>
          </cell>
        </row>
        <row r="86">
          <cell r="A86" t="str">
            <v>아르헨티나</v>
          </cell>
        </row>
        <row r="87">
          <cell r="A87" t="str">
            <v>바하마</v>
          </cell>
        </row>
        <row r="88">
          <cell r="A88" t="str">
            <v>브라질</v>
          </cell>
        </row>
        <row r="89">
          <cell r="A89" t="str">
            <v>칠레</v>
          </cell>
        </row>
        <row r="90">
          <cell r="A90" t="str">
            <v>코스타리카</v>
          </cell>
        </row>
        <row r="91">
          <cell r="A91" t="str">
            <v>엘살바도르</v>
          </cell>
        </row>
        <row r="92">
          <cell r="A92" t="str">
            <v>과테말라</v>
          </cell>
        </row>
        <row r="93">
          <cell r="A93" t="str">
            <v>아이티</v>
          </cell>
        </row>
        <row r="94">
          <cell r="A94" t="str">
            <v>멕시코</v>
          </cell>
        </row>
        <row r="95">
          <cell r="A95" t="str">
            <v>페루</v>
          </cell>
        </row>
        <row r="96">
          <cell r="A96" t="str">
            <v>베네수엘라</v>
          </cell>
        </row>
        <row r="97">
          <cell r="A97" t="str">
            <v>핀란드</v>
          </cell>
        </row>
        <row r="98">
          <cell r="A98" t="str">
            <v>그리스</v>
          </cell>
        </row>
        <row r="99">
          <cell r="A99" t="str">
            <v>네덜란드</v>
          </cell>
        </row>
        <row r="100">
          <cell r="A100" t="str">
            <v>산마리노</v>
          </cell>
        </row>
        <row r="101">
          <cell r="A101" t="str">
            <v>베나투</v>
          </cell>
        </row>
        <row r="102">
          <cell r="A102" t="str">
            <v>베냉</v>
          </cell>
        </row>
        <row r="103">
          <cell r="A103" t="str">
            <v>솔로몬제도</v>
          </cell>
        </row>
        <row r="104">
          <cell r="A104" t="str">
            <v>키리바시</v>
          </cell>
        </row>
        <row r="105">
          <cell r="A105" t="str">
            <v>대만</v>
          </cell>
        </row>
        <row r="106">
          <cell r="A106" t="str">
            <v>짐바브웨</v>
          </cell>
        </row>
        <row r="107">
          <cell r="A107" t="str">
            <v>파로에 군도</v>
          </cell>
        </row>
        <row r="108">
          <cell r="A108" t="str">
            <v>불가리아</v>
          </cell>
        </row>
        <row r="109">
          <cell r="A109" t="str">
            <v>르완다</v>
          </cell>
        </row>
        <row r="110">
          <cell r="A110" t="str">
            <v>시에라리온</v>
          </cell>
        </row>
        <row r="111">
          <cell r="A111" t="str">
            <v>수단</v>
          </cell>
        </row>
        <row r="112">
          <cell r="A112" t="str">
            <v>모나코</v>
          </cell>
        </row>
        <row r="113">
          <cell r="A113" t="str">
            <v>토고</v>
          </cell>
        </row>
        <row r="114">
          <cell r="A114" t="str">
            <v>우간다</v>
          </cell>
        </row>
        <row r="115">
          <cell r="A115" t="str">
            <v>가이네아</v>
          </cell>
        </row>
        <row r="116">
          <cell r="A116" t="str">
            <v>모리타니아</v>
          </cell>
        </row>
        <row r="117">
          <cell r="A117" t="str">
            <v>잠비아</v>
          </cell>
        </row>
        <row r="118">
          <cell r="A118" t="str">
            <v>미얀마(버마)</v>
          </cell>
        </row>
        <row r="119">
          <cell r="A119" t="str">
            <v>부르키나파소</v>
          </cell>
        </row>
        <row r="120">
          <cell r="A120" t="str">
            <v>슬로베니아</v>
          </cell>
        </row>
        <row r="121">
          <cell r="A121" t="str">
            <v>우즈베키스탄</v>
          </cell>
        </row>
        <row r="122">
          <cell r="A122" t="str">
            <v>차오</v>
          </cell>
        </row>
        <row r="123">
          <cell r="A123" t="str">
            <v>콩고</v>
          </cell>
        </row>
        <row r="124">
          <cell r="A124" t="str">
            <v>에스토니아</v>
          </cell>
        </row>
        <row r="125">
          <cell r="A125" t="str">
            <v>유럽연합</v>
          </cell>
        </row>
        <row r="126">
          <cell r="A126" t="str">
            <v>기니비사우</v>
          </cell>
        </row>
        <row r="127">
          <cell r="A127" t="str">
            <v>나우루</v>
          </cell>
        </row>
        <row r="128">
          <cell r="A128" t="str">
            <v>도미니카 공화국</v>
          </cell>
        </row>
        <row r="129">
          <cell r="A129" t="str">
            <v>리히텐슈타인</v>
          </cell>
        </row>
        <row r="130">
          <cell r="A130" t="str">
            <v>마이너 아우틀링 합중국 군도</v>
          </cell>
        </row>
        <row r="131">
          <cell r="A131" t="str">
            <v>보빗군도</v>
          </cell>
        </row>
        <row r="132">
          <cell r="A132" t="str">
            <v>불령 남부지역</v>
          </cell>
        </row>
        <row r="133">
          <cell r="A133" t="str">
            <v>서사하라</v>
          </cell>
        </row>
        <row r="134">
          <cell r="A134" t="str">
            <v>세인트 빈센트 그레나딘</v>
          </cell>
        </row>
        <row r="135">
          <cell r="A135" t="str">
            <v>세인트 헬레나</v>
          </cell>
        </row>
        <row r="136">
          <cell r="A136" t="str">
            <v>영령 버진군도</v>
          </cell>
        </row>
        <row r="137">
          <cell r="A137" t="str">
            <v>영령 캐이맨 군도</v>
          </cell>
        </row>
        <row r="138">
          <cell r="A138" t="str">
            <v>코스 군도</v>
          </cell>
        </row>
        <row r="139">
          <cell r="A139" t="str">
            <v>투르크 &amp; 카이코스 군도</v>
          </cell>
        </row>
        <row r="140">
          <cell r="A140" t="str">
            <v>팔레스타인</v>
          </cell>
        </row>
        <row r="141">
          <cell r="A141" t="str">
            <v>도미니카</v>
          </cell>
        </row>
        <row r="142">
          <cell r="A142" t="str">
            <v>우루과이</v>
          </cell>
        </row>
        <row r="143">
          <cell r="A143" t="str">
            <v>독일</v>
          </cell>
        </row>
        <row r="144">
          <cell r="A144" t="str">
            <v>키프로스</v>
          </cell>
        </row>
        <row r="145">
          <cell r="A145" t="str">
            <v>이라크</v>
          </cell>
        </row>
        <row r="146">
          <cell r="A146" t="str">
            <v>말레이지아</v>
          </cell>
        </row>
        <row r="147">
          <cell r="A147" t="str">
            <v>네팔</v>
          </cell>
        </row>
        <row r="148">
          <cell r="A148" t="str">
            <v>탄자니아</v>
          </cell>
        </row>
        <row r="149">
          <cell r="A149" t="str">
            <v>모잠비크</v>
          </cell>
        </row>
        <row r="150">
          <cell r="A150" t="str">
            <v>마다가스카르</v>
          </cell>
        </row>
        <row r="151">
          <cell r="A151" t="str">
            <v>스페인</v>
          </cell>
        </row>
        <row r="152">
          <cell r="A152" t="str">
            <v xml:space="preserve">동독 </v>
          </cell>
        </row>
        <row r="153">
          <cell r="A153" t="str">
            <v>파키스탄</v>
          </cell>
        </row>
        <row r="154">
          <cell r="A154" t="str">
            <v>카타르</v>
          </cell>
        </row>
        <row r="155">
          <cell r="A155" t="str">
            <v>베트남</v>
          </cell>
        </row>
        <row r="156">
          <cell r="A156" t="str">
            <v>남예멘</v>
          </cell>
        </row>
        <row r="157">
          <cell r="A157" t="str">
            <v>볼리비아</v>
          </cell>
        </row>
        <row r="158">
          <cell r="A158" t="str">
            <v xml:space="preserve">에콰도르 </v>
          </cell>
        </row>
        <row r="159">
          <cell r="A159" t="str">
            <v>그레나다</v>
          </cell>
        </row>
        <row r="160">
          <cell r="A160" t="str">
            <v>자메이카</v>
          </cell>
        </row>
        <row r="161">
          <cell r="A161" t="str">
            <v>파나마</v>
          </cell>
        </row>
        <row r="162">
          <cell r="A162" t="str">
            <v>수리남</v>
          </cell>
        </row>
        <row r="163">
          <cell r="A163" t="str">
            <v>오스트리아</v>
          </cell>
        </row>
        <row r="164">
          <cell r="A164" t="str">
            <v>영국</v>
          </cell>
        </row>
        <row r="165">
          <cell r="A165" t="str">
            <v>이탈리아</v>
          </cell>
        </row>
        <row r="166">
          <cell r="A166" t="str">
            <v>몰타</v>
          </cell>
        </row>
        <row r="167">
          <cell r="A167" t="str">
            <v>노르웨이</v>
          </cell>
        </row>
        <row r="168">
          <cell r="A168" t="str">
            <v>스위스</v>
          </cell>
        </row>
        <row r="169">
          <cell r="A169" t="str">
            <v>알바니아</v>
          </cell>
        </row>
        <row r="170">
          <cell r="A170" t="str">
            <v>소련</v>
          </cell>
        </row>
        <row r="171">
          <cell r="A171" t="str">
            <v>피지</v>
          </cell>
        </row>
        <row r="172">
          <cell r="A172" t="str">
            <v>칼레도니아</v>
          </cell>
        </row>
        <row r="173">
          <cell r="A173" t="str">
            <v>타이티</v>
          </cell>
        </row>
        <row r="174">
          <cell r="A174" t="str">
            <v>알제리</v>
          </cell>
        </row>
        <row r="175">
          <cell r="A175" t="str">
            <v>다오메이</v>
          </cell>
        </row>
        <row r="176">
          <cell r="A176" t="str">
            <v xml:space="preserve">에티오피아 </v>
          </cell>
        </row>
        <row r="177">
          <cell r="A177" t="str">
            <v>가나</v>
          </cell>
        </row>
        <row r="178">
          <cell r="A178" t="str">
            <v>케냐</v>
          </cell>
        </row>
        <row r="179">
          <cell r="A179" t="str">
            <v>리비아</v>
          </cell>
        </row>
        <row r="180">
          <cell r="A180" t="str">
            <v>모리셔스</v>
          </cell>
        </row>
        <row r="181">
          <cell r="A181" t="str">
            <v>니제르</v>
          </cell>
        </row>
        <row r="182">
          <cell r="A182" t="str">
            <v>기니</v>
          </cell>
        </row>
        <row r="183">
          <cell r="A183" t="str">
            <v>바레인</v>
          </cell>
        </row>
        <row r="184">
          <cell r="A184" t="str">
            <v>북한</v>
          </cell>
        </row>
        <row r="185">
          <cell r="A185" t="str">
            <v>가이아나</v>
          </cell>
        </row>
        <row r="186">
          <cell r="A186" t="str">
            <v>니카라과</v>
          </cell>
        </row>
        <row r="187">
          <cell r="A187" t="str">
            <v>푸에르토리코</v>
          </cell>
        </row>
        <row r="188">
          <cell r="A188" t="str">
            <v>덴마크</v>
          </cell>
        </row>
        <row r="189">
          <cell r="A189" t="str">
            <v>아일랜드</v>
          </cell>
        </row>
        <row r="190">
          <cell r="A190" t="str">
            <v>헝가리</v>
          </cell>
        </row>
        <row r="191">
          <cell r="A191" t="str">
            <v>오트볼타</v>
          </cell>
        </row>
        <row r="192">
          <cell r="A192" t="str">
            <v>부룬디</v>
          </cell>
        </row>
        <row r="193">
          <cell r="A193" t="str">
            <v>버진군도</v>
          </cell>
        </row>
        <row r="194">
          <cell r="A194" t="str">
            <v>쎄크레스</v>
          </cell>
        </row>
        <row r="195">
          <cell r="A195" t="str">
            <v>아제르바잔</v>
          </cell>
        </row>
        <row r="196">
          <cell r="A196" t="str">
            <v>지부티</v>
          </cell>
        </row>
        <row r="197">
          <cell r="A197" t="str">
            <v>투르크메니스탄</v>
          </cell>
        </row>
        <row r="198">
          <cell r="A198" t="str">
            <v xml:space="preserve">키르기스스탄 </v>
          </cell>
        </row>
        <row r="199">
          <cell r="A199" t="str">
            <v>그린란드</v>
          </cell>
        </row>
        <row r="200">
          <cell r="A200" t="str">
            <v>피트카이른</v>
          </cell>
        </row>
        <row r="201">
          <cell r="A201" t="str">
            <v>아프가니스탄</v>
          </cell>
        </row>
        <row r="202">
          <cell r="A202" t="str">
            <v>방글라데시</v>
          </cell>
        </row>
        <row r="203">
          <cell r="A203" t="str">
            <v>부탄</v>
          </cell>
        </row>
        <row r="204">
          <cell r="A204" t="str">
            <v>브루나이</v>
          </cell>
        </row>
        <row r="205">
          <cell r="A205" t="str">
            <v>루마니아</v>
          </cell>
        </row>
        <row r="206">
          <cell r="A206" t="str">
            <v>세르비아</v>
          </cell>
        </row>
        <row r="207">
          <cell r="A207" t="str">
            <v>코소보</v>
          </cell>
        </row>
        <row r="208">
          <cell r="A208" t="str">
            <v>사모아</v>
          </cell>
        </row>
        <row r="209">
          <cell r="A209" t="str">
            <v>괌</v>
          </cell>
        </row>
        <row r="210">
          <cell r="A210" t="str">
            <v>헤브리테스</v>
          </cell>
        </row>
        <row r="211">
          <cell r="A211" t="str">
            <v>뉴질랜드</v>
          </cell>
        </row>
        <row r="212">
          <cell r="A212" t="str">
            <v>서사모아</v>
          </cell>
        </row>
        <row r="213">
          <cell r="A213" t="str">
            <v>보츠와나</v>
          </cell>
        </row>
        <row r="214">
          <cell r="A214" t="str">
            <v>중앙아프리카공화국</v>
          </cell>
        </row>
        <row r="215">
          <cell r="A215" t="str">
            <v>차드</v>
          </cell>
        </row>
        <row r="216">
          <cell r="A216" t="str">
            <v>아이보리코스트</v>
          </cell>
        </row>
        <row r="217">
          <cell r="A217" t="str">
            <v>라이베리아</v>
          </cell>
        </row>
        <row r="218">
          <cell r="A218" t="str">
            <v>모로코</v>
          </cell>
        </row>
        <row r="219">
          <cell r="A219" t="str">
            <v>나이지리아</v>
          </cell>
        </row>
        <row r="220">
          <cell r="A220" t="str">
            <v>로디지아</v>
          </cell>
        </row>
        <row r="221">
          <cell r="A221" t="str">
            <v>세네갈</v>
          </cell>
        </row>
        <row r="222">
          <cell r="A222" t="str">
            <v>남아프리카공화국</v>
          </cell>
        </row>
        <row r="223">
          <cell r="A223" t="str">
            <v>서남아프리카</v>
          </cell>
        </row>
        <row r="224">
          <cell r="A224" t="str">
            <v>스와질랜드</v>
          </cell>
        </row>
        <row r="225">
          <cell r="A225" t="str">
            <v>튀니지</v>
          </cell>
        </row>
        <row r="226">
          <cell r="A226" t="str">
            <v>콩고민주공화국</v>
          </cell>
        </row>
        <row r="227">
          <cell r="A227" t="str">
            <v>앙골라</v>
          </cell>
        </row>
        <row r="228">
          <cell r="A228" t="str">
            <v>말비나소</v>
          </cell>
        </row>
        <row r="229">
          <cell r="A229" t="str">
            <v>몰도바</v>
          </cell>
        </row>
        <row r="230">
          <cell r="A230" t="str">
            <v>버뮤다</v>
          </cell>
        </row>
        <row r="231">
          <cell r="A231" t="str">
            <v>벨리즈</v>
          </cell>
        </row>
        <row r="232">
          <cell r="A232" t="str">
            <v>벨라루시아</v>
          </cell>
        </row>
        <row r="233">
          <cell r="A233" t="str">
            <v>러시아</v>
          </cell>
        </row>
        <row r="234">
          <cell r="A234" t="str">
            <v>시칠리스</v>
          </cell>
        </row>
        <row r="235">
          <cell r="A235" t="str">
            <v>우크라이나</v>
          </cell>
        </row>
        <row r="236">
          <cell r="A236" t="str">
            <v>지브랄타</v>
          </cell>
        </row>
        <row r="237">
          <cell r="A237" t="str">
            <v>포클랜드 군도</v>
          </cell>
        </row>
        <row r="238">
          <cell r="A238" t="str">
            <v>카페버디</v>
          </cell>
        </row>
        <row r="239">
          <cell r="A239" t="str">
            <v>타지키스탄</v>
          </cell>
        </row>
        <row r="240">
          <cell r="A240" t="str">
            <v>통가</v>
          </cell>
        </row>
        <row r="241">
          <cell r="A241" t="str">
            <v>파카리안</v>
          </cell>
        </row>
        <row r="242">
          <cell r="A242" t="str">
            <v>카자흐스탄</v>
          </cell>
        </row>
        <row r="243">
          <cell r="A243" t="str">
            <v>그루지아</v>
          </cell>
        </row>
        <row r="244">
          <cell r="A244" t="str">
            <v>나미비아</v>
          </cell>
        </row>
        <row r="245">
          <cell r="A245" t="str">
            <v>네덜란드령앤틸리스제도</v>
          </cell>
        </row>
        <row r="246">
          <cell r="A246" t="str">
            <v>노폴크 아일랜드</v>
          </cell>
        </row>
        <row r="247">
          <cell r="A247" t="str">
            <v>니우에</v>
          </cell>
        </row>
        <row r="248">
          <cell r="A248" t="str">
            <v>라트비아</v>
          </cell>
        </row>
        <row r="249">
          <cell r="A249" t="str">
            <v>리투아니아</v>
          </cell>
        </row>
        <row r="250">
          <cell r="A250" t="str">
            <v>마케도니아</v>
          </cell>
        </row>
        <row r="251">
          <cell r="A251" t="str">
            <v>마티니크</v>
          </cell>
        </row>
        <row r="252">
          <cell r="A252" t="str">
            <v>메요트</v>
          </cell>
        </row>
        <row r="253">
          <cell r="A253" t="str">
            <v>몬트세라트</v>
          </cell>
        </row>
        <row r="254">
          <cell r="A254" t="str">
            <v>불령 리유니온,코모도 제도</v>
          </cell>
        </row>
        <row r="255">
          <cell r="A255" t="str">
            <v>불령 폴리네시아</v>
          </cell>
        </row>
        <row r="256">
          <cell r="A256" t="str">
            <v xml:space="preserve">상투메프린시페 </v>
          </cell>
        </row>
        <row r="257">
          <cell r="A257" t="str">
            <v>세인트 루시아</v>
          </cell>
        </row>
        <row r="258">
          <cell r="A258" t="str">
            <v>슬로바키아</v>
          </cell>
        </row>
        <row r="259">
          <cell r="A259" t="str">
            <v>안티가 바부다</v>
          </cell>
        </row>
        <row r="260">
          <cell r="A260" t="str">
            <v>에리트리아</v>
          </cell>
        </row>
        <row r="261">
          <cell r="A261" t="str">
            <v>왈라스 &amp; 퓨투나 군도</v>
          </cell>
        </row>
        <row r="262">
          <cell r="A262" t="str">
            <v>크로아티아</v>
          </cell>
        </row>
        <row r="263">
          <cell r="A263" t="str">
            <v>크리스마스 아일랜드</v>
          </cell>
        </row>
        <row r="264">
          <cell r="A264" t="str">
            <v>동티모르</v>
          </cell>
        </row>
        <row r="265">
          <cell r="A265" t="str">
            <v>팔라우</v>
          </cell>
        </row>
        <row r="266">
          <cell r="A266" t="str">
            <v>허드 앤 맥도날드 군도</v>
          </cell>
        </row>
        <row r="267">
          <cell r="A267" t="str">
            <v>몬테네그로</v>
          </cell>
        </row>
      </sheetData>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2013 - 2022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gov.kr/main?a=AA020InfoCappViewApp&amp;HighCtgCD=A10001&amp;CappBizCD=12700000024"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26" Type="http://schemas.openxmlformats.org/officeDocument/2006/relationships/ctrlProp" Target="../ctrlProps/ctrlProp28.xml"/><Relationship Id="rId3" Type="http://schemas.openxmlformats.org/officeDocument/2006/relationships/hyperlink" Target="http://www.g2b.go.kr:8051/main/main.do" TargetMode="External"/><Relationship Id="rId21" Type="http://schemas.openxmlformats.org/officeDocument/2006/relationships/ctrlProp" Target="../ctrlProps/ctrlProp23.x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2" Type="http://schemas.openxmlformats.org/officeDocument/2006/relationships/hyperlink" Target="https://unipass.customs.go.kr/clip/index.do" TargetMode="External"/><Relationship Id="rId16" Type="http://schemas.openxmlformats.org/officeDocument/2006/relationships/ctrlProp" Target="../ctrlProps/ctrlProp18.xml"/><Relationship Id="rId20" Type="http://schemas.openxmlformats.org/officeDocument/2006/relationships/ctrlProp" Target="../ctrlProps/ctrlProp22.xml"/><Relationship Id="rId1" Type="http://schemas.openxmlformats.org/officeDocument/2006/relationships/hyperlink" Target="http://www.g2b.go.kr:8051/main/main.do" TargetMode="External"/><Relationship Id="rId6" Type="http://schemas.openxmlformats.org/officeDocument/2006/relationships/vmlDrawing" Target="../drawings/vmlDrawing4.vml"/><Relationship Id="rId11" Type="http://schemas.openxmlformats.org/officeDocument/2006/relationships/ctrlProp" Target="../ctrlProps/ctrlProp13.xml"/><Relationship Id="rId24" Type="http://schemas.openxmlformats.org/officeDocument/2006/relationships/ctrlProp" Target="../ctrlProps/ctrlProp26.xml"/><Relationship Id="rId5" Type="http://schemas.openxmlformats.org/officeDocument/2006/relationships/drawing" Target="../drawings/drawing4.xml"/><Relationship Id="rId15" Type="http://schemas.openxmlformats.org/officeDocument/2006/relationships/ctrlProp" Target="../ctrlProps/ctrlProp17.xml"/><Relationship Id="rId23" Type="http://schemas.openxmlformats.org/officeDocument/2006/relationships/ctrlProp" Target="../ctrlProps/ctrlProp25.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printerSettings" Target="../printerSettings/printerSettings4.bin"/><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5.xml"/><Relationship Id="rId13" Type="http://schemas.openxmlformats.org/officeDocument/2006/relationships/ctrlProp" Target="../ctrlProps/ctrlProp40.xml"/><Relationship Id="rId18" Type="http://schemas.openxmlformats.org/officeDocument/2006/relationships/ctrlProp" Target="../ctrlProps/ctrlProp45.xml"/><Relationship Id="rId3" Type="http://schemas.openxmlformats.org/officeDocument/2006/relationships/vmlDrawing" Target="../drawings/vmlDrawing6.vml"/><Relationship Id="rId7" Type="http://schemas.openxmlformats.org/officeDocument/2006/relationships/ctrlProp" Target="../ctrlProps/ctrlProp34.xml"/><Relationship Id="rId12" Type="http://schemas.openxmlformats.org/officeDocument/2006/relationships/ctrlProp" Target="../ctrlProps/ctrlProp39.xml"/><Relationship Id="rId17" Type="http://schemas.openxmlformats.org/officeDocument/2006/relationships/ctrlProp" Target="../ctrlProps/ctrlProp44.xml"/><Relationship Id="rId2" Type="http://schemas.openxmlformats.org/officeDocument/2006/relationships/drawing" Target="../drawings/drawing6.xml"/><Relationship Id="rId16" Type="http://schemas.openxmlformats.org/officeDocument/2006/relationships/ctrlProp" Target="../ctrlProps/ctrlProp43.xml"/><Relationship Id="rId1" Type="http://schemas.openxmlformats.org/officeDocument/2006/relationships/printerSettings" Target="../printerSettings/printerSettings6.bin"/><Relationship Id="rId6" Type="http://schemas.openxmlformats.org/officeDocument/2006/relationships/ctrlProp" Target="../ctrlProps/ctrlProp33.xml"/><Relationship Id="rId11" Type="http://schemas.openxmlformats.org/officeDocument/2006/relationships/ctrlProp" Target="../ctrlProps/ctrlProp38.xml"/><Relationship Id="rId5" Type="http://schemas.openxmlformats.org/officeDocument/2006/relationships/ctrlProp" Target="../ctrlProps/ctrlProp32.xml"/><Relationship Id="rId15" Type="http://schemas.openxmlformats.org/officeDocument/2006/relationships/ctrlProp" Target="../ctrlProps/ctrlProp42.xml"/><Relationship Id="rId10" Type="http://schemas.openxmlformats.org/officeDocument/2006/relationships/ctrlProp" Target="../ctrlProps/ctrlProp37.xml"/><Relationship Id="rId19" Type="http://schemas.openxmlformats.org/officeDocument/2006/relationships/comments" Target="../comments2.xml"/><Relationship Id="rId4" Type="http://schemas.openxmlformats.org/officeDocument/2006/relationships/ctrlProp" Target="../ctrlProps/ctrlProp31.xml"/><Relationship Id="rId9" Type="http://schemas.openxmlformats.org/officeDocument/2006/relationships/ctrlProp" Target="../ctrlProps/ctrlProp36.xml"/><Relationship Id="rId14" Type="http://schemas.openxmlformats.org/officeDocument/2006/relationships/ctrlProp" Target="../ctrlProps/ctrlProp4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4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3.xml"/><Relationship Id="rId4" Type="http://schemas.openxmlformats.org/officeDocument/2006/relationships/ctrlProp" Target="../ctrlProps/ctrlProp4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2.xml"/><Relationship Id="rId13" Type="http://schemas.openxmlformats.org/officeDocument/2006/relationships/ctrlProp" Target="../ctrlProps/ctrlProp57.xml"/><Relationship Id="rId18" Type="http://schemas.openxmlformats.org/officeDocument/2006/relationships/ctrlProp" Target="../ctrlProps/ctrlProp62.xml"/><Relationship Id="rId3" Type="http://schemas.openxmlformats.org/officeDocument/2006/relationships/vmlDrawing" Target="../drawings/vmlDrawing9.vml"/><Relationship Id="rId21" Type="http://schemas.openxmlformats.org/officeDocument/2006/relationships/ctrlProp" Target="../ctrlProps/ctrlProp65.xml"/><Relationship Id="rId7" Type="http://schemas.openxmlformats.org/officeDocument/2006/relationships/ctrlProp" Target="../ctrlProps/ctrlProp51.xml"/><Relationship Id="rId12" Type="http://schemas.openxmlformats.org/officeDocument/2006/relationships/ctrlProp" Target="../ctrlProps/ctrlProp56.xml"/><Relationship Id="rId17" Type="http://schemas.openxmlformats.org/officeDocument/2006/relationships/ctrlProp" Target="../ctrlProps/ctrlProp61.xml"/><Relationship Id="rId2" Type="http://schemas.openxmlformats.org/officeDocument/2006/relationships/drawing" Target="../drawings/drawing9.xml"/><Relationship Id="rId16" Type="http://schemas.openxmlformats.org/officeDocument/2006/relationships/ctrlProp" Target="../ctrlProps/ctrlProp60.xml"/><Relationship Id="rId20" Type="http://schemas.openxmlformats.org/officeDocument/2006/relationships/ctrlProp" Target="../ctrlProps/ctrlProp64.xml"/><Relationship Id="rId1" Type="http://schemas.openxmlformats.org/officeDocument/2006/relationships/printerSettings" Target="../printerSettings/printerSettings9.bin"/><Relationship Id="rId6" Type="http://schemas.openxmlformats.org/officeDocument/2006/relationships/ctrlProp" Target="../ctrlProps/ctrlProp50.xml"/><Relationship Id="rId11" Type="http://schemas.openxmlformats.org/officeDocument/2006/relationships/ctrlProp" Target="../ctrlProps/ctrlProp55.xml"/><Relationship Id="rId5" Type="http://schemas.openxmlformats.org/officeDocument/2006/relationships/ctrlProp" Target="../ctrlProps/ctrlProp49.xml"/><Relationship Id="rId15" Type="http://schemas.openxmlformats.org/officeDocument/2006/relationships/ctrlProp" Target="../ctrlProps/ctrlProp59.xml"/><Relationship Id="rId23" Type="http://schemas.openxmlformats.org/officeDocument/2006/relationships/ctrlProp" Target="../ctrlProps/ctrlProp67.xml"/><Relationship Id="rId10" Type="http://schemas.openxmlformats.org/officeDocument/2006/relationships/ctrlProp" Target="../ctrlProps/ctrlProp54.xml"/><Relationship Id="rId19" Type="http://schemas.openxmlformats.org/officeDocument/2006/relationships/ctrlProp" Target="../ctrlProps/ctrlProp63.xml"/><Relationship Id="rId4" Type="http://schemas.openxmlformats.org/officeDocument/2006/relationships/ctrlProp" Target="../ctrlProps/ctrlProp48.xml"/><Relationship Id="rId9" Type="http://schemas.openxmlformats.org/officeDocument/2006/relationships/ctrlProp" Target="../ctrlProps/ctrlProp53.xml"/><Relationship Id="rId14" Type="http://schemas.openxmlformats.org/officeDocument/2006/relationships/ctrlProp" Target="../ctrlProps/ctrlProp58.xml"/><Relationship Id="rId22" Type="http://schemas.openxmlformats.org/officeDocument/2006/relationships/ctrlProp" Target="../ctrlProps/ctrlProp6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trlProp" Target="../ctrlProps/ctrlProp82.xml"/><Relationship Id="rId3" Type="http://schemas.openxmlformats.org/officeDocument/2006/relationships/vmlDrawing" Target="../drawings/vmlDrawing10.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10.xml"/><Relationship Id="rId16" Type="http://schemas.openxmlformats.org/officeDocument/2006/relationships/ctrlProp" Target="../ctrlProps/ctrlProp80.xml"/><Relationship Id="rId1" Type="http://schemas.openxmlformats.org/officeDocument/2006/relationships/printerSettings" Target="../printerSettings/printerSettings10.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8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mments" Target="../comments4.xml"/><Relationship Id="rId5" Type="http://schemas.openxmlformats.org/officeDocument/2006/relationships/ctrlProp" Target="../ctrlProps/ctrlProp85.xml"/><Relationship Id="rId4" Type="http://schemas.openxmlformats.org/officeDocument/2006/relationships/ctrlProp" Target="../ctrlProps/ctrlProp8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trlProp" Target="../ctrlProps/ctrlProp8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trlProp" Target="../ctrlProps/ctrlProp8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mments" Target="../comments5.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trlProp" Target="../ctrlProps/ctrlProp90.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100.xml"/><Relationship Id="rId18" Type="http://schemas.openxmlformats.org/officeDocument/2006/relationships/ctrlProp" Target="../ctrlProps/ctrlProp105.xml"/><Relationship Id="rId26" Type="http://schemas.openxmlformats.org/officeDocument/2006/relationships/ctrlProp" Target="../ctrlProps/ctrlProp113.xml"/><Relationship Id="rId21" Type="http://schemas.openxmlformats.org/officeDocument/2006/relationships/ctrlProp" Target="../ctrlProps/ctrlProp108.xml"/><Relationship Id="rId34" Type="http://schemas.openxmlformats.org/officeDocument/2006/relationships/ctrlProp" Target="../ctrlProps/ctrlProp121.xml"/><Relationship Id="rId7" Type="http://schemas.openxmlformats.org/officeDocument/2006/relationships/ctrlProp" Target="../ctrlProps/ctrlProp94.xml"/><Relationship Id="rId12" Type="http://schemas.openxmlformats.org/officeDocument/2006/relationships/ctrlProp" Target="../ctrlProps/ctrlProp99.xml"/><Relationship Id="rId17" Type="http://schemas.openxmlformats.org/officeDocument/2006/relationships/ctrlProp" Target="../ctrlProps/ctrlProp104.xml"/><Relationship Id="rId25" Type="http://schemas.openxmlformats.org/officeDocument/2006/relationships/ctrlProp" Target="../ctrlProps/ctrlProp112.xml"/><Relationship Id="rId33" Type="http://schemas.openxmlformats.org/officeDocument/2006/relationships/ctrlProp" Target="../ctrlProps/ctrlProp120.xml"/><Relationship Id="rId2" Type="http://schemas.openxmlformats.org/officeDocument/2006/relationships/drawing" Target="../drawings/drawing17.xml"/><Relationship Id="rId16" Type="http://schemas.openxmlformats.org/officeDocument/2006/relationships/ctrlProp" Target="../ctrlProps/ctrlProp103.xml"/><Relationship Id="rId20" Type="http://schemas.openxmlformats.org/officeDocument/2006/relationships/ctrlProp" Target="../ctrlProps/ctrlProp107.xml"/><Relationship Id="rId29" Type="http://schemas.openxmlformats.org/officeDocument/2006/relationships/ctrlProp" Target="../ctrlProps/ctrlProp116.xml"/><Relationship Id="rId1" Type="http://schemas.openxmlformats.org/officeDocument/2006/relationships/printerSettings" Target="../printerSettings/printerSettings17.bin"/><Relationship Id="rId6" Type="http://schemas.openxmlformats.org/officeDocument/2006/relationships/ctrlProp" Target="../ctrlProps/ctrlProp93.xml"/><Relationship Id="rId11" Type="http://schemas.openxmlformats.org/officeDocument/2006/relationships/ctrlProp" Target="../ctrlProps/ctrlProp98.xml"/><Relationship Id="rId24" Type="http://schemas.openxmlformats.org/officeDocument/2006/relationships/ctrlProp" Target="../ctrlProps/ctrlProp111.xml"/><Relationship Id="rId32" Type="http://schemas.openxmlformats.org/officeDocument/2006/relationships/ctrlProp" Target="../ctrlProps/ctrlProp119.xml"/><Relationship Id="rId37" Type="http://schemas.openxmlformats.org/officeDocument/2006/relationships/comments" Target="../comments6.xml"/><Relationship Id="rId5" Type="http://schemas.openxmlformats.org/officeDocument/2006/relationships/ctrlProp" Target="../ctrlProps/ctrlProp92.xml"/><Relationship Id="rId15" Type="http://schemas.openxmlformats.org/officeDocument/2006/relationships/ctrlProp" Target="../ctrlProps/ctrlProp102.xml"/><Relationship Id="rId23" Type="http://schemas.openxmlformats.org/officeDocument/2006/relationships/ctrlProp" Target="../ctrlProps/ctrlProp110.xml"/><Relationship Id="rId28" Type="http://schemas.openxmlformats.org/officeDocument/2006/relationships/ctrlProp" Target="../ctrlProps/ctrlProp115.xml"/><Relationship Id="rId36" Type="http://schemas.openxmlformats.org/officeDocument/2006/relationships/ctrlProp" Target="../ctrlProps/ctrlProp123.xml"/><Relationship Id="rId10" Type="http://schemas.openxmlformats.org/officeDocument/2006/relationships/ctrlProp" Target="../ctrlProps/ctrlProp97.xml"/><Relationship Id="rId19" Type="http://schemas.openxmlformats.org/officeDocument/2006/relationships/ctrlProp" Target="../ctrlProps/ctrlProp106.xml"/><Relationship Id="rId31" Type="http://schemas.openxmlformats.org/officeDocument/2006/relationships/ctrlProp" Target="../ctrlProps/ctrlProp118.xml"/><Relationship Id="rId4" Type="http://schemas.openxmlformats.org/officeDocument/2006/relationships/ctrlProp" Target="../ctrlProps/ctrlProp91.xml"/><Relationship Id="rId9" Type="http://schemas.openxmlformats.org/officeDocument/2006/relationships/ctrlProp" Target="../ctrlProps/ctrlProp96.xml"/><Relationship Id="rId14" Type="http://schemas.openxmlformats.org/officeDocument/2006/relationships/ctrlProp" Target="../ctrlProps/ctrlProp101.xml"/><Relationship Id="rId22" Type="http://schemas.openxmlformats.org/officeDocument/2006/relationships/ctrlProp" Target="../ctrlProps/ctrlProp109.xml"/><Relationship Id="rId27" Type="http://schemas.openxmlformats.org/officeDocument/2006/relationships/ctrlProp" Target="../ctrlProps/ctrlProp114.xml"/><Relationship Id="rId30" Type="http://schemas.openxmlformats.org/officeDocument/2006/relationships/ctrlProp" Target="../ctrlProps/ctrlProp117.xml"/><Relationship Id="rId35" Type="http://schemas.openxmlformats.org/officeDocument/2006/relationships/ctrlProp" Target="../ctrlProps/ctrlProp122.xml"/><Relationship Id="rId8" Type="http://schemas.openxmlformats.org/officeDocument/2006/relationships/ctrlProp" Target="../ctrlProps/ctrlProp95.xml"/><Relationship Id="rId3"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4" Type="http://schemas.openxmlformats.org/officeDocument/2006/relationships/ctrlProp" Target="../ctrlProps/ctrlProp12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26.xml"/><Relationship Id="rId4" Type="http://schemas.openxmlformats.org/officeDocument/2006/relationships/ctrlProp" Target="../ctrlProps/ctrlProp12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A1:S87"/>
  <sheetViews>
    <sheetView showGridLines="0" zoomScale="80" zoomScaleNormal="80" workbookViewId="0">
      <pane ySplit="4" topLeftCell="A5" activePane="bottomLeft" state="frozen"/>
      <selection pane="bottomLeft" activeCell="G17" sqref="G17"/>
    </sheetView>
  </sheetViews>
  <sheetFormatPr defaultRowHeight="17"/>
  <cols>
    <col min="2" max="6" width="12.4140625" customWidth="1"/>
    <col min="7" max="7" width="21.6640625" bestFit="1" customWidth="1"/>
    <col min="15" max="17" width="10.33203125" customWidth="1"/>
    <col min="18" max="18" width="9" customWidth="1"/>
    <col min="19" max="19" width="10.08203125" customWidth="1"/>
  </cols>
  <sheetData>
    <row r="1" spans="1:19" ht="16.5" customHeight="1">
      <c r="A1" s="619" t="s">
        <v>1294</v>
      </c>
      <c r="B1" s="619"/>
      <c r="C1" s="619"/>
      <c r="D1" s="619"/>
      <c r="E1" s="619"/>
      <c r="F1" s="619"/>
      <c r="G1" s="619"/>
      <c r="H1" s="619"/>
      <c r="I1" s="619"/>
      <c r="J1" s="619"/>
      <c r="K1" s="619"/>
      <c r="L1" s="619"/>
      <c r="M1" s="619"/>
      <c r="N1" s="619"/>
      <c r="O1" s="619"/>
      <c r="P1" s="619"/>
      <c r="Q1" s="619"/>
      <c r="R1" s="619"/>
      <c r="S1" s="619"/>
    </row>
    <row r="2" spans="1:19" ht="16.5" customHeight="1">
      <c r="A2" s="619"/>
      <c r="B2" s="619"/>
      <c r="C2" s="619"/>
      <c r="D2" s="619"/>
      <c r="E2" s="619"/>
      <c r="F2" s="619"/>
      <c r="G2" s="619"/>
      <c r="H2" s="619"/>
      <c r="I2" s="619"/>
      <c r="J2" s="619"/>
      <c r="K2" s="619"/>
      <c r="L2" s="619"/>
      <c r="M2" s="619"/>
      <c r="N2" s="619"/>
      <c r="O2" s="619"/>
      <c r="P2" s="619"/>
      <c r="Q2" s="619"/>
      <c r="R2" s="619"/>
      <c r="S2" s="619"/>
    </row>
    <row r="3" spans="1:19" ht="16.5" customHeight="1">
      <c r="A3" s="619"/>
      <c r="B3" s="619"/>
      <c r="C3" s="619"/>
      <c r="D3" s="619"/>
      <c r="E3" s="619"/>
      <c r="F3" s="619"/>
      <c r="G3" s="619"/>
      <c r="H3" s="619"/>
      <c r="I3" s="619"/>
      <c r="J3" s="619"/>
      <c r="K3" s="619"/>
      <c r="L3" s="619"/>
      <c r="M3" s="619"/>
      <c r="N3" s="619"/>
      <c r="O3" s="619"/>
      <c r="P3" s="619"/>
      <c r="Q3" s="619"/>
      <c r="R3" s="619"/>
      <c r="S3" s="619"/>
    </row>
    <row r="4" spans="1:19" ht="16.5" customHeight="1">
      <c r="A4" s="619"/>
      <c r="B4" s="619"/>
      <c r="C4" s="619"/>
      <c r="D4" s="619"/>
      <c r="E4" s="619"/>
      <c r="F4" s="619"/>
      <c r="G4" s="619"/>
      <c r="H4" s="619"/>
      <c r="I4" s="619"/>
      <c r="J4" s="619"/>
      <c r="K4" s="619"/>
      <c r="L4" s="619"/>
      <c r="M4" s="619"/>
      <c r="N4" s="619"/>
      <c r="O4" s="619"/>
      <c r="P4" s="619"/>
      <c r="Q4" s="619"/>
      <c r="R4" s="619"/>
      <c r="S4" s="619"/>
    </row>
    <row r="5" spans="1:19">
      <c r="Q5" s="628" t="s">
        <v>1583</v>
      </c>
      <c r="R5" s="629"/>
      <c r="S5" s="629"/>
    </row>
    <row r="6" spans="1:19" ht="21">
      <c r="A6" s="620" t="s">
        <v>431</v>
      </c>
      <c r="B6" s="620"/>
      <c r="C6" s="620"/>
      <c r="D6" s="620"/>
      <c r="E6" s="620"/>
      <c r="F6" s="620"/>
      <c r="G6" s="620"/>
    </row>
    <row r="7" spans="1:19" ht="21">
      <c r="A7" s="570" t="s">
        <v>3</v>
      </c>
      <c r="B7" s="623" t="s">
        <v>43</v>
      </c>
      <c r="C7" s="623"/>
      <c r="D7" s="623"/>
      <c r="E7" s="623"/>
      <c r="F7" s="623"/>
      <c r="G7" s="570" t="s">
        <v>45</v>
      </c>
      <c r="I7" s="563" t="s">
        <v>0</v>
      </c>
      <c r="J7" s="563"/>
      <c r="K7" s="563"/>
      <c r="L7" s="563"/>
      <c r="M7" s="563"/>
      <c r="N7" s="563"/>
      <c r="O7" s="563"/>
      <c r="P7" s="563"/>
      <c r="Q7" s="563"/>
      <c r="R7" s="563"/>
      <c r="S7" s="563"/>
    </row>
    <row r="8" spans="1:19" ht="21.75" customHeight="1">
      <c r="A8" s="630" t="s">
        <v>1419</v>
      </c>
      <c r="B8" s="622" t="s">
        <v>44</v>
      </c>
      <c r="C8" s="622"/>
      <c r="D8" s="622"/>
      <c r="E8" s="622"/>
      <c r="F8" s="622"/>
      <c r="G8" s="565" t="s">
        <v>1441</v>
      </c>
      <c r="I8" s="569" t="s">
        <v>1</v>
      </c>
      <c r="J8" s="517"/>
      <c r="K8" s="517"/>
      <c r="L8" s="517"/>
      <c r="M8" s="517"/>
      <c r="N8" s="517"/>
      <c r="O8" s="517"/>
      <c r="P8" s="517"/>
      <c r="Q8" s="517"/>
      <c r="R8" s="517"/>
      <c r="S8" s="517"/>
    </row>
    <row r="9" spans="1:19" ht="21.75" customHeight="1">
      <c r="A9" s="630"/>
      <c r="B9" s="622" t="s">
        <v>1233</v>
      </c>
      <c r="C9" s="622"/>
      <c r="D9" s="622"/>
      <c r="E9" s="622"/>
      <c r="F9" s="622"/>
      <c r="G9" s="565" t="s">
        <v>1444</v>
      </c>
      <c r="I9" s="517"/>
      <c r="J9" s="517"/>
      <c r="K9" s="517"/>
      <c r="L9" s="517"/>
      <c r="M9" s="517"/>
      <c r="N9" s="517"/>
      <c r="O9" s="517"/>
      <c r="P9" s="517"/>
      <c r="Q9" s="517"/>
      <c r="R9" s="517"/>
      <c r="S9" s="517"/>
    </row>
    <row r="10" spans="1:19" ht="21.75" customHeight="1">
      <c r="A10" s="630"/>
      <c r="B10" s="622" t="s">
        <v>819</v>
      </c>
      <c r="C10" s="622"/>
      <c r="D10" s="622"/>
      <c r="E10" s="622"/>
      <c r="F10" s="622"/>
      <c r="G10" s="565" t="s">
        <v>1445</v>
      </c>
      <c r="I10" s="517"/>
      <c r="J10" s="517"/>
      <c r="K10" s="517"/>
      <c r="L10" s="517"/>
      <c r="M10" s="517"/>
      <c r="N10" s="517"/>
      <c r="O10" s="517"/>
      <c r="P10" s="517"/>
      <c r="Q10" s="517"/>
      <c r="R10" s="517"/>
      <c r="S10" s="517"/>
    </row>
    <row r="11" spans="1:19" ht="21.75" customHeight="1">
      <c r="A11" s="630"/>
      <c r="B11" s="622" t="s">
        <v>37</v>
      </c>
      <c r="C11" s="622"/>
      <c r="D11" s="622"/>
      <c r="E11" s="622"/>
      <c r="F11" s="622"/>
      <c r="G11" s="565" t="s">
        <v>1446</v>
      </c>
      <c r="I11" s="517"/>
      <c r="J11" s="517"/>
      <c r="K11" s="517"/>
      <c r="L11" s="517"/>
      <c r="M11" s="517"/>
      <c r="N11" s="517"/>
      <c r="O11" s="517"/>
      <c r="P11" s="517"/>
      <c r="Q11" s="517"/>
      <c r="R11" s="517"/>
      <c r="S11" s="517"/>
    </row>
    <row r="12" spans="1:19" ht="21.75" customHeight="1">
      <c r="A12" s="630"/>
      <c r="B12" s="622" t="s">
        <v>40</v>
      </c>
      <c r="C12" s="622"/>
      <c r="D12" s="622"/>
      <c r="E12" s="622"/>
      <c r="F12" s="622"/>
      <c r="G12" s="565" t="s">
        <v>1442</v>
      </c>
      <c r="I12" s="517"/>
      <c r="J12" s="517"/>
      <c r="K12" s="517"/>
      <c r="L12" s="517"/>
      <c r="M12" s="517"/>
      <c r="N12" s="517"/>
      <c r="O12" s="517"/>
      <c r="P12" s="517"/>
      <c r="Q12" s="517"/>
      <c r="R12" s="517"/>
      <c r="S12" s="517"/>
    </row>
    <row r="13" spans="1:19" ht="21.75" customHeight="1">
      <c r="A13" s="630"/>
      <c r="B13" s="622" t="s">
        <v>1577</v>
      </c>
      <c r="C13" s="622"/>
      <c r="D13" s="622"/>
      <c r="E13" s="622"/>
      <c r="F13" s="622"/>
      <c r="G13" s="565" t="s">
        <v>1559</v>
      </c>
      <c r="I13" s="517"/>
      <c r="J13" s="517"/>
      <c r="K13" s="517"/>
      <c r="L13" s="517"/>
      <c r="M13" s="517"/>
      <c r="N13" s="517"/>
      <c r="O13" s="517"/>
      <c r="P13" s="517"/>
      <c r="Q13" s="517"/>
      <c r="R13" s="517"/>
      <c r="S13" s="517"/>
    </row>
    <row r="14" spans="1:19" ht="21.75" customHeight="1">
      <c r="A14" s="630"/>
      <c r="B14" s="621" t="s">
        <v>1415</v>
      </c>
      <c r="C14" s="621"/>
      <c r="D14" s="621"/>
      <c r="E14" s="621"/>
      <c r="F14" s="621"/>
      <c r="G14" s="565" t="s">
        <v>1447</v>
      </c>
      <c r="I14" s="517"/>
      <c r="J14" s="517"/>
      <c r="K14" s="517"/>
      <c r="L14" s="517"/>
      <c r="M14" s="517"/>
      <c r="N14" s="517"/>
      <c r="O14" s="517"/>
      <c r="P14" s="517"/>
      <c r="Q14" s="517"/>
      <c r="R14" s="517"/>
      <c r="S14" s="517"/>
    </row>
    <row r="15" spans="1:19" ht="21.75" customHeight="1">
      <c r="A15" s="630"/>
      <c r="B15" s="624" t="s">
        <v>1416</v>
      </c>
      <c r="C15" s="624"/>
      <c r="D15" s="624"/>
      <c r="E15" s="624"/>
      <c r="F15" s="624"/>
      <c r="G15" s="565" t="s">
        <v>1448</v>
      </c>
      <c r="I15" s="517"/>
      <c r="J15" s="517"/>
      <c r="K15" s="517"/>
      <c r="L15" s="517"/>
      <c r="M15" s="517"/>
      <c r="N15" s="517"/>
      <c r="O15" s="517"/>
      <c r="P15" s="517"/>
      <c r="Q15" s="517"/>
      <c r="R15" s="517"/>
      <c r="S15" s="517"/>
    </row>
    <row r="16" spans="1:19" ht="21.75" customHeight="1">
      <c r="A16" s="630"/>
      <c r="B16" s="621" t="s">
        <v>1457</v>
      </c>
      <c r="C16" s="621"/>
      <c r="D16" s="621"/>
      <c r="E16" s="621"/>
      <c r="F16" s="621"/>
      <c r="G16" s="565" t="s">
        <v>1449</v>
      </c>
      <c r="I16" s="569" t="s">
        <v>2</v>
      </c>
      <c r="J16" s="517"/>
      <c r="K16" s="517"/>
      <c r="L16" s="517"/>
      <c r="M16" s="517"/>
      <c r="N16" s="517"/>
      <c r="O16" s="517"/>
      <c r="P16" s="517"/>
      <c r="Q16" s="517"/>
      <c r="R16" s="517"/>
      <c r="S16" s="517"/>
    </row>
    <row r="17" spans="1:19" ht="21.75" customHeight="1">
      <c r="A17" s="630"/>
      <c r="B17" s="621" t="s">
        <v>1458</v>
      </c>
      <c r="C17" s="621"/>
      <c r="D17" s="621"/>
      <c r="E17" s="621"/>
      <c r="F17" s="621"/>
      <c r="G17" s="565" t="s">
        <v>1450</v>
      </c>
      <c r="I17" s="625" t="s">
        <v>3</v>
      </c>
      <c r="J17" s="627"/>
      <c r="K17" s="627"/>
      <c r="L17" s="627"/>
      <c r="M17" s="626"/>
      <c r="N17" s="625" t="s">
        <v>4</v>
      </c>
      <c r="O17" s="627"/>
      <c r="P17" s="627"/>
      <c r="Q17" s="626"/>
      <c r="R17" s="625" t="s">
        <v>5</v>
      </c>
      <c r="S17" s="626"/>
    </row>
    <row r="18" spans="1:19" ht="21.75" customHeight="1">
      <c r="A18" s="630"/>
      <c r="B18" s="621" t="s">
        <v>1459</v>
      </c>
      <c r="C18" s="621"/>
      <c r="D18" s="621"/>
      <c r="E18" s="621"/>
      <c r="F18" s="621"/>
      <c r="G18" s="565" t="s">
        <v>1443</v>
      </c>
      <c r="I18" s="633" t="s">
        <v>25</v>
      </c>
      <c r="J18" s="634"/>
      <c r="K18" s="638"/>
      <c r="L18" s="639"/>
      <c r="M18" s="640"/>
      <c r="N18" s="635" t="s">
        <v>1421</v>
      </c>
      <c r="O18" s="636"/>
      <c r="P18" s="636"/>
      <c r="Q18" s="637"/>
      <c r="R18" s="631" t="s">
        <v>7</v>
      </c>
      <c r="S18" s="632"/>
    </row>
    <row r="19" spans="1:19" ht="21.75" customHeight="1">
      <c r="A19" s="630"/>
      <c r="B19" s="621" t="s">
        <v>1460</v>
      </c>
      <c r="C19" s="621"/>
      <c r="D19" s="621"/>
      <c r="E19" s="621"/>
      <c r="F19" s="621"/>
      <c r="G19" s="565" t="s">
        <v>1560</v>
      </c>
      <c r="I19" s="458" t="s">
        <v>6</v>
      </c>
      <c r="J19" s="459"/>
      <c r="K19" s="455" t="s">
        <v>10</v>
      </c>
      <c r="L19" s="456"/>
      <c r="M19" s="457"/>
      <c r="N19" s="455" t="s">
        <v>8</v>
      </c>
      <c r="O19" s="456"/>
      <c r="P19" s="456"/>
      <c r="Q19" s="457"/>
      <c r="R19" s="631" t="s">
        <v>7</v>
      </c>
      <c r="S19" s="632"/>
    </row>
    <row r="20" spans="1:19" ht="21.75" customHeight="1">
      <c r="A20" s="630" t="s">
        <v>1414</v>
      </c>
      <c r="B20" s="621" t="s">
        <v>886</v>
      </c>
      <c r="C20" s="621"/>
      <c r="D20" s="621"/>
      <c r="E20" s="621"/>
      <c r="F20" s="621"/>
      <c r="G20" s="565" t="s">
        <v>1451</v>
      </c>
      <c r="I20" s="503"/>
      <c r="K20" s="455" t="s">
        <v>11</v>
      </c>
      <c r="L20" s="456"/>
      <c r="M20" s="457"/>
      <c r="N20" s="455" t="s">
        <v>9</v>
      </c>
      <c r="O20" s="456"/>
      <c r="P20" s="456"/>
      <c r="Q20" s="457"/>
      <c r="R20" s="631" t="s">
        <v>7</v>
      </c>
      <c r="S20" s="632"/>
    </row>
    <row r="21" spans="1:19" ht="21.75" customHeight="1">
      <c r="A21" s="630"/>
      <c r="B21" s="621" t="s">
        <v>1104</v>
      </c>
      <c r="C21" s="621"/>
      <c r="D21" s="621"/>
      <c r="E21" s="621"/>
      <c r="F21" s="621"/>
      <c r="G21" s="565" t="s">
        <v>1452</v>
      </c>
      <c r="I21" s="460" t="s">
        <v>871</v>
      </c>
      <c r="J21" s="461"/>
      <c r="K21" s="462"/>
      <c r="L21" s="463"/>
      <c r="M21" s="464"/>
      <c r="N21" s="449" t="s">
        <v>1103</v>
      </c>
      <c r="O21" s="450"/>
      <c r="P21" s="450"/>
      <c r="Q21" s="451"/>
      <c r="R21" s="631" t="s">
        <v>7</v>
      </c>
      <c r="S21" s="632"/>
    </row>
    <row r="22" spans="1:19" ht="21.75" customHeight="1">
      <c r="A22" s="630"/>
      <c r="B22" s="621" t="s">
        <v>1239</v>
      </c>
      <c r="C22" s="621"/>
      <c r="D22" s="621"/>
      <c r="E22" s="621"/>
      <c r="F22" s="621"/>
      <c r="G22" s="565" t="s">
        <v>1453</v>
      </c>
      <c r="I22" s="449" t="s">
        <v>1109</v>
      </c>
      <c r="J22" s="451"/>
      <c r="K22" s="452"/>
      <c r="L22" s="453"/>
      <c r="M22" s="454"/>
      <c r="N22" s="449" t="s">
        <v>1417</v>
      </c>
      <c r="O22" s="450"/>
      <c r="P22" s="450"/>
      <c r="Q22" s="451"/>
      <c r="R22" s="631" t="s">
        <v>7</v>
      </c>
      <c r="S22" s="632"/>
    </row>
    <row r="23" spans="1:19" ht="21.75" customHeight="1">
      <c r="A23" s="630"/>
      <c r="B23" s="621" t="s">
        <v>41</v>
      </c>
      <c r="C23" s="621"/>
      <c r="D23" s="621"/>
      <c r="E23" s="621"/>
      <c r="F23" s="621"/>
      <c r="G23" s="565" t="s">
        <v>1454</v>
      </c>
      <c r="I23" s="449" t="s">
        <v>1115</v>
      </c>
      <c r="J23" s="451"/>
      <c r="K23" s="452"/>
      <c r="L23" s="453"/>
      <c r="M23" s="454"/>
      <c r="N23" s="449" t="s">
        <v>8</v>
      </c>
      <c r="O23" s="450"/>
      <c r="P23" s="450"/>
      <c r="Q23" s="451"/>
      <c r="R23" s="631" t="s">
        <v>7</v>
      </c>
      <c r="S23" s="632"/>
    </row>
    <row r="24" spans="1:19" ht="21.75" customHeight="1">
      <c r="A24" s="630"/>
      <c r="B24" s="621" t="s">
        <v>254</v>
      </c>
      <c r="C24" s="621"/>
      <c r="D24" s="621"/>
      <c r="E24" s="621"/>
      <c r="F24" s="621"/>
      <c r="G24" s="565" t="s">
        <v>1455</v>
      </c>
      <c r="I24" s="517"/>
      <c r="J24" s="517"/>
      <c r="K24" s="517"/>
      <c r="L24" s="517"/>
      <c r="M24" s="517"/>
      <c r="N24" s="517"/>
      <c r="O24" s="517"/>
      <c r="P24" s="517"/>
      <c r="Q24" s="517"/>
      <c r="R24" s="517"/>
      <c r="S24" s="517"/>
    </row>
    <row r="25" spans="1:19" ht="21.75" customHeight="1">
      <c r="A25" s="630"/>
      <c r="B25" s="621" t="s">
        <v>1461</v>
      </c>
      <c r="C25" s="621"/>
      <c r="D25" s="621"/>
      <c r="E25" s="621"/>
      <c r="F25" s="621"/>
      <c r="G25" s="565" t="s">
        <v>1456</v>
      </c>
      <c r="I25" s="517"/>
      <c r="J25" s="517"/>
      <c r="K25" s="517"/>
      <c r="L25" s="517"/>
      <c r="M25" s="517"/>
      <c r="N25" s="517"/>
      <c r="O25" s="517"/>
      <c r="P25" s="517"/>
      <c r="Q25" s="517"/>
      <c r="R25" s="517"/>
      <c r="S25" s="517"/>
    </row>
    <row r="26" spans="1:19">
      <c r="A26" s="30"/>
      <c r="B26" s="53"/>
      <c r="C26" s="53"/>
      <c r="D26" s="53"/>
      <c r="E26" s="53"/>
      <c r="F26" s="53"/>
      <c r="G26" s="411"/>
    </row>
    <row r="28" spans="1:19" ht="21">
      <c r="A28" s="563" t="s">
        <v>12</v>
      </c>
      <c r="B28" s="563"/>
      <c r="C28" s="563"/>
      <c r="D28" s="563"/>
      <c r="E28" s="563"/>
      <c r="F28" s="563"/>
      <c r="G28" s="563"/>
      <c r="H28" s="563"/>
      <c r="J28" s="563" t="s">
        <v>17</v>
      </c>
      <c r="K28" s="564"/>
      <c r="L28" s="563"/>
      <c r="M28" s="563"/>
      <c r="N28" s="563"/>
      <c r="O28" s="563"/>
      <c r="P28" s="563"/>
      <c r="Q28" s="563"/>
      <c r="R28" s="563"/>
      <c r="S28" s="563"/>
    </row>
    <row r="29" spans="1:19" ht="17.5">
      <c r="A29" s="569" t="s">
        <v>1</v>
      </c>
      <c r="B29" s="517"/>
      <c r="C29" s="517"/>
      <c r="D29" s="517"/>
      <c r="E29" s="517"/>
      <c r="F29" s="517"/>
      <c r="G29" s="517"/>
      <c r="H29" s="517"/>
      <c r="J29" s="569" t="s">
        <v>1</v>
      </c>
      <c r="K29" s="517"/>
      <c r="L29" s="517"/>
      <c r="M29" s="517"/>
      <c r="N29" s="517"/>
      <c r="O29" s="517"/>
      <c r="P29" s="517"/>
      <c r="Q29" s="517"/>
      <c r="R29" s="517"/>
      <c r="S29" s="517"/>
    </row>
    <row r="30" spans="1:19" ht="17.5">
      <c r="A30" s="566"/>
      <c r="B30" s="517"/>
      <c r="C30" s="517"/>
      <c r="D30" s="517"/>
      <c r="E30" s="517"/>
      <c r="F30" s="517"/>
      <c r="G30" s="517"/>
      <c r="H30" s="517"/>
      <c r="J30" s="517"/>
      <c r="K30" s="566"/>
      <c r="L30" s="517"/>
      <c r="M30" s="517"/>
      <c r="N30" s="517"/>
      <c r="O30" s="517"/>
      <c r="P30" s="517"/>
      <c r="Q30" s="517"/>
      <c r="R30" s="517"/>
      <c r="S30" s="517"/>
    </row>
    <row r="31" spans="1:19">
      <c r="A31" s="517"/>
      <c r="B31" s="517"/>
      <c r="C31" s="517"/>
      <c r="D31" s="517"/>
      <c r="E31" s="517"/>
      <c r="F31" s="517"/>
      <c r="G31" s="517"/>
      <c r="H31" s="517"/>
      <c r="J31" s="517"/>
      <c r="K31" s="517"/>
      <c r="L31" s="517"/>
      <c r="M31" s="517"/>
      <c r="N31" s="517"/>
      <c r="O31" s="517"/>
      <c r="P31" s="517"/>
      <c r="Q31" s="517"/>
      <c r="R31" s="517"/>
      <c r="S31" s="517"/>
    </row>
    <row r="32" spans="1:19">
      <c r="A32" s="517"/>
      <c r="B32" s="517"/>
      <c r="C32" s="517"/>
      <c r="D32" s="517"/>
      <c r="E32" s="517"/>
      <c r="F32" s="517"/>
      <c r="G32" s="517"/>
      <c r="H32" s="517"/>
      <c r="J32" s="517"/>
      <c r="K32" s="517"/>
      <c r="L32" s="517"/>
      <c r="M32" s="517"/>
      <c r="N32" s="517"/>
      <c r="O32" s="517"/>
      <c r="P32" s="517"/>
      <c r="Q32" s="517"/>
      <c r="R32" s="517"/>
      <c r="S32" s="517"/>
    </row>
    <row r="33" spans="1:19">
      <c r="A33" s="517"/>
      <c r="B33" s="517"/>
      <c r="C33" s="517"/>
      <c r="D33" s="517"/>
      <c r="E33" s="517"/>
      <c r="F33" s="517"/>
      <c r="G33" s="517"/>
      <c r="H33" s="517"/>
      <c r="J33" s="517"/>
      <c r="K33" s="517"/>
      <c r="L33" s="517"/>
      <c r="M33" s="517"/>
      <c r="N33" s="517"/>
      <c r="O33" s="517"/>
      <c r="P33" s="517"/>
      <c r="Q33" s="517"/>
      <c r="R33" s="517"/>
      <c r="S33" s="517"/>
    </row>
    <row r="34" spans="1:19">
      <c r="A34" s="517"/>
      <c r="B34" s="517"/>
      <c r="C34" s="517"/>
      <c r="D34" s="517"/>
      <c r="E34" s="517"/>
      <c r="F34" s="517"/>
      <c r="G34" s="517"/>
      <c r="H34" s="517"/>
      <c r="J34" s="517"/>
      <c r="K34" s="517"/>
      <c r="L34" s="517"/>
      <c r="M34" s="517"/>
      <c r="N34" s="517"/>
      <c r="O34" s="517"/>
      <c r="P34" s="517"/>
      <c r="Q34" s="517"/>
      <c r="R34" s="517"/>
      <c r="S34" s="517"/>
    </row>
    <row r="35" spans="1:19" ht="17.5">
      <c r="A35" s="569" t="s">
        <v>13</v>
      </c>
      <c r="B35" s="566"/>
      <c r="C35" s="517"/>
      <c r="D35" s="517"/>
      <c r="E35" s="517"/>
      <c r="F35" s="517"/>
      <c r="G35" s="517"/>
      <c r="H35" s="517"/>
      <c r="J35" s="569" t="s">
        <v>13</v>
      </c>
      <c r="K35" s="517"/>
      <c r="L35" s="566"/>
      <c r="M35" s="517"/>
      <c r="N35" s="517"/>
      <c r="O35" s="517"/>
      <c r="P35" s="517"/>
      <c r="Q35" s="517"/>
      <c r="R35" s="517"/>
      <c r="S35" s="517"/>
    </row>
    <row r="36" spans="1:19">
      <c r="A36" s="646" t="s">
        <v>3</v>
      </c>
      <c r="B36" s="646"/>
      <c r="C36" s="646" t="s">
        <v>4</v>
      </c>
      <c r="D36" s="646"/>
      <c r="E36" s="646"/>
      <c r="F36" s="646"/>
      <c r="G36" s="646" t="s">
        <v>5</v>
      </c>
      <c r="H36" s="646"/>
      <c r="J36" s="646" t="s">
        <v>3</v>
      </c>
      <c r="K36" s="646"/>
      <c r="L36" s="646"/>
      <c r="M36" s="646" t="s">
        <v>4</v>
      </c>
      <c r="N36" s="646"/>
      <c r="O36" s="646"/>
      <c r="P36" s="646"/>
      <c r="Q36" s="646" t="s">
        <v>5</v>
      </c>
      <c r="R36" s="646"/>
      <c r="S36" s="646"/>
    </row>
    <row r="37" spans="1:19" ht="16.5" customHeight="1">
      <c r="A37" s="641" t="s">
        <v>14</v>
      </c>
      <c r="B37" s="641"/>
      <c r="C37" s="641" t="s">
        <v>15</v>
      </c>
      <c r="D37" s="641"/>
      <c r="E37" s="641"/>
      <c r="F37" s="641"/>
      <c r="G37" s="642" t="s">
        <v>16</v>
      </c>
      <c r="H37" s="642"/>
      <c r="J37" s="647" t="s">
        <v>24</v>
      </c>
      <c r="K37" s="647"/>
      <c r="L37" s="647"/>
      <c r="M37" s="641" t="s">
        <v>18</v>
      </c>
      <c r="N37" s="641"/>
      <c r="O37" s="641"/>
      <c r="P37" s="641"/>
      <c r="Q37" s="642" t="s">
        <v>16</v>
      </c>
      <c r="R37" s="642"/>
      <c r="S37" s="642"/>
    </row>
    <row r="38" spans="1:19">
      <c r="A38" s="641"/>
      <c r="B38" s="641"/>
      <c r="C38" s="641" t="s">
        <v>818</v>
      </c>
      <c r="D38" s="641"/>
      <c r="E38" s="641"/>
      <c r="F38" s="641"/>
      <c r="G38" s="644" t="s">
        <v>7</v>
      </c>
      <c r="H38" s="644"/>
      <c r="J38" s="647"/>
      <c r="K38" s="647"/>
      <c r="L38" s="647"/>
      <c r="M38" s="641" t="s">
        <v>19</v>
      </c>
      <c r="N38" s="641"/>
      <c r="O38" s="641"/>
      <c r="P38" s="641"/>
      <c r="Q38" s="644" t="s">
        <v>7</v>
      </c>
      <c r="R38" s="644"/>
      <c r="S38" s="644"/>
    </row>
    <row r="39" spans="1:19">
      <c r="A39" s="641" t="s">
        <v>816</v>
      </c>
      <c r="B39" s="567" t="s">
        <v>817</v>
      </c>
      <c r="C39" s="641" t="s">
        <v>1230</v>
      </c>
      <c r="D39" s="641"/>
      <c r="E39" s="641"/>
      <c r="F39" s="641"/>
      <c r="G39" s="644" t="s">
        <v>1125</v>
      </c>
      <c r="H39" s="644"/>
      <c r="J39" s="647"/>
      <c r="K39" s="647"/>
      <c r="L39" s="647"/>
      <c r="M39" s="641" t="s">
        <v>20</v>
      </c>
      <c r="N39" s="641"/>
      <c r="O39" s="641"/>
      <c r="P39" s="641"/>
      <c r="Q39" s="644" t="s">
        <v>7</v>
      </c>
      <c r="R39" s="644"/>
      <c r="S39" s="644"/>
    </row>
    <row r="40" spans="1:19">
      <c r="A40" s="641"/>
      <c r="B40" s="567" t="s">
        <v>820</v>
      </c>
      <c r="C40" s="641" t="s">
        <v>1126</v>
      </c>
      <c r="D40" s="641"/>
      <c r="E40" s="641"/>
      <c r="F40" s="641"/>
      <c r="G40" s="572"/>
      <c r="H40" s="571"/>
      <c r="J40" s="647"/>
      <c r="K40" s="647"/>
      <c r="L40" s="647"/>
      <c r="M40" s="641" t="s">
        <v>21</v>
      </c>
      <c r="N40" s="641"/>
      <c r="O40" s="641"/>
      <c r="P40" s="641"/>
      <c r="Q40" s="645" t="s">
        <v>23</v>
      </c>
      <c r="R40" s="645"/>
      <c r="S40" s="645"/>
    </row>
    <row r="41" spans="1:19">
      <c r="A41" s="641"/>
      <c r="B41" s="568" t="s">
        <v>821</v>
      </c>
      <c r="C41" s="641" t="s">
        <v>1126</v>
      </c>
      <c r="D41" s="641"/>
      <c r="E41" s="641"/>
      <c r="F41" s="641"/>
      <c r="G41" s="572"/>
      <c r="H41" s="571"/>
      <c r="J41" s="647"/>
      <c r="K41" s="647"/>
      <c r="L41" s="647"/>
      <c r="M41" s="641" t="s">
        <v>22</v>
      </c>
      <c r="N41" s="641"/>
      <c r="O41" s="641"/>
      <c r="P41" s="641"/>
      <c r="Q41" s="643"/>
      <c r="R41" s="643"/>
      <c r="S41" s="643"/>
    </row>
    <row r="42" spans="1:19">
      <c r="A42" s="641"/>
      <c r="B42" s="641" t="s">
        <v>822</v>
      </c>
      <c r="C42" s="641" t="s">
        <v>1127</v>
      </c>
      <c r="D42" s="641"/>
      <c r="E42" s="641"/>
      <c r="F42" s="641"/>
      <c r="G42" s="644" t="s">
        <v>7</v>
      </c>
      <c r="H42" s="644"/>
      <c r="J42" s="517"/>
      <c r="K42" s="510"/>
      <c r="L42" s="510"/>
      <c r="M42" s="510"/>
      <c r="N42" s="510"/>
      <c r="O42" s="510"/>
      <c r="P42" s="510"/>
      <c r="Q42" s="511"/>
      <c r="R42" s="511"/>
      <c r="S42" s="511"/>
    </row>
    <row r="43" spans="1:19">
      <c r="A43" s="641"/>
      <c r="B43" s="641"/>
      <c r="C43" s="641" t="s">
        <v>1126</v>
      </c>
      <c r="D43" s="641"/>
      <c r="E43" s="641"/>
      <c r="F43" s="641"/>
      <c r="G43" s="572"/>
      <c r="H43" s="571"/>
      <c r="J43" s="517"/>
      <c r="K43" s="510"/>
      <c r="L43" s="510"/>
      <c r="M43" s="510"/>
      <c r="N43" s="510"/>
      <c r="O43" s="510"/>
      <c r="P43" s="510"/>
      <c r="Q43" s="511"/>
      <c r="R43" s="511"/>
      <c r="S43" s="511"/>
    </row>
    <row r="44" spans="1:19">
      <c r="A44" s="512"/>
      <c r="B44" s="512"/>
      <c r="C44" s="512"/>
      <c r="D44" s="512"/>
      <c r="E44" s="512"/>
      <c r="F44" s="512"/>
      <c r="G44" s="512"/>
      <c r="H44" s="512"/>
      <c r="J44" s="517"/>
      <c r="K44" s="512"/>
      <c r="L44" s="512"/>
      <c r="M44" s="512"/>
      <c r="N44" s="512"/>
      <c r="O44" s="512"/>
      <c r="P44" s="512"/>
      <c r="Q44" s="512"/>
      <c r="R44" s="512"/>
      <c r="S44" s="512"/>
    </row>
    <row r="47" spans="1:19" ht="21">
      <c r="A47" s="563" t="s">
        <v>26</v>
      </c>
      <c r="B47" s="563"/>
      <c r="C47" s="563"/>
      <c r="D47" s="563"/>
      <c r="E47" s="563"/>
      <c r="F47" s="563"/>
      <c r="G47" s="563"/>
      <c r="H47" s="563"/>
      <c r="J47" s="563" t="s">
        <v>31</v>
      </c>
      <c r="K47" s="564"/>
      <c r="L47" s="563"/>
      <c r="M47" s="563"/>
      <c r="N47" s="563"/>
      <c r="O47" s="563"/>
      <c r="P47" s="563"/>
      <c r="Q47" s="563"/>
      <c r="R47" s="563"/>
      <c r="S47" s="563"/>
    </row>
    <row r="48" spans="1:19" ht="17.5">
      <c r="A48" s="569" t="s">
        <v>1</v>
      </c>
      <c r="B48" s="517"/>
      <c r="C48" s="517"/>
      <c r="D48" s="517"/>
      <c r="E48" s="517"/>
      <c r="F48" s="517"/>
      <c r="G48" s="517"/>
      <c r="H48" s="517"/>
      <c r="J48" s="569" t="s">
        <v>1</v>
      </c>
      <c r="K48" s="517"/>
      <c r="L48" s="517"/>
      <c r="M48" s="517"/>
      <c r="N48" s="517"/>
      <c r="O48" s="517"/>
      <c r="P48" s="517"/>
      <c r="Q48" s="517"/>
      <c r="R48" s="517"/>
      <c r="S48" s="517"/>
    </row>
    <row r="49" spans="1:19" ht="17.5">
      <c r="A49" s="566"/>
      <c r="B49" s="517"/>
      <c r="C49" s="517"/>
      <c r="D49" s="517"/>
      <c r="E49" s="517"/>
      <c r="F49" s="517"/>
      <c r="G49" s="517"/>
      <c r="H49" s="517"/>
      <c r="J49" s="517"/>
      <c r="K49" s="566"/>
      <c r="L49" s="517"/>
      <c r="M49" s="517"/>
      <c r="N49" s="517"/>
      <c r="O49" s="517"/>
      <c r="P49" s="517"/>
      <c r="Q49" s="517"/>
      <c r="R49" s="517"/>
      <c r="S49" s="517"/>
    </row>
    <row r="50" spans="1:19">
      <c r="A50" s="517"/>
      <c r="B50" s="517"/>
      <c r="C50" s="517"/>
      <c r="D50" s="517"/>
      <c r="E50" s="517"/>
      <c r="F50" s="517"/>
      <c r="G50" s="517"/>
      <c r="H50" s="517"/>
      <c r="J50" s="517"/>
      <c r="K50" s="517"/>
      <c r="L50" s="517"/>
      <c r="M50" s="517"/>
      <c r="N50" s="517"/>
      <c r="O50" s="517"/>
      <c r="P50" s="517"/>
      <c r="Q50" s="517"/>
      <c r="R50" s="517"/>
      <c r="S50" s="517"/>
    </row>
    <row r="51" spans="1:19">
      <c r="A51" s="517"/>
      <c r="B51" s="517"/>
      <c r="C51" s="517"/>
      <c r="D51" s="517"/>
      <c r="E51" s="517"/>
      <c r="F51" s="517"/>
      <c r="G51" s="517"/>
      <c r="H51" s="517"/>
      <c r="J51" s="517"/>
      <c r="K51" s="517"/>
      <c r="L51" s="517"/>
      <c r="M51" s="517"/>
      <c r="N51" s="517"/>
      <c r="O51" s="517"/>
      <c r="P51" s="517"/>
      <c r="Q51" s="517"/>
      <c r="R51" s="517"/>
      <c r="S51" s="517"/>
    </row>
    <row r="52" spans="1:19">
      <c r="A52" s="517"/>
      <c r="B52" s="517"/>
      <c r="C52" s="517"/>
      <c r="D52" s="517"/>
      <c r="E52" s="517"/>
      <c r="F52" s="517"/>
      <c r="G52" s="517"/>
      <c r="H52" s="517"/>
      <c r="J52" s="517"/>
      <c r="K52" s="517"/>
      <c r="L52" s="517"/>
      <c r="M52" s="517"/>
      <c r="N52" s="517"/>
      <c r="O52" s="517"/>
      <c r="P52" s="517"/>
      <c r="Q52" s="517"/>
      <c r="R52" s="517"/>
      <c r="S52" s="517"/>
    </row>
    <row r="53" spans="1:19" ht="16.5" customHeight="1">
      <c r="A53" s="569" t="s">
        <v>13</v>
      </c>
      <c r="B53" s="566"/>
      <c r="C53" s="517"/>
      <c r="D53" s="517"/>
      <c r="E53" s="517"/>
      <c r="F53" s="517"/>
      <c r="G53" s="517"/>
      <c r="H53" s="517"/>
      <c r="J53" s="569" t="s">
        <v>13</v>
      </c>
      <c r="K53" s="517"/>
      <c r="L53" s="566"/>
      <c r="M53" s="517"/>
      <c r="N53" s="517"/>
      <c r="O53" s="517"/>
      <c r="P53" s="517"/>
      <c r="Q53" s="517"/>
      <c r="R53" s="517"/>
      <c r="S53" s="517"/>
    </row>
    <row r="54" spans="1:19">
      <c r="A54" s="646" t="s">
        <v>3</v>
      </c>
      <c r="B54" s="646"/>
      <c r="C54" s="646" t="s">
        <v>4</v>
      </c>
      <c r="D54" s="646"/>
      <c r="E54" s="646"/>
      <c r="F54" s="646"/>
      <c r="G54" s="646" t="s">
        <v>5</v>
      </c>
      <c r="H54" s="646"/>
      <c r="J54" s="646" t="s">
        <v>3</v>
      </c>
      <c r="K54" s="646"/>
      <c r="L54" s="646"/>
      <c r="M54" s="646" t="s">
        <v>4</v>
      </c>
      <c r="N54" s="646"/>
      <c r="O54" s="646"/>
      <c r="P54" s="646"/>
      <c r="Q54" s="646" t="s">
        <v>5</v>
      </c>
      <c r="R54" s="646"/>
      <c r="S54" s="646"/>
    </row>
    <row r="55" spans="1:19">
      <c r="A55" s="648" t="s">
        <v>25</v>
      </c>
      <c r="B55" s="648"/>
      <c r="C55" s="641" t="s">
        <v>29</v>
      </c>
      <c r="D55" s="641"/>
      <c r="E55" s="641"/>
      <c r="F55" s="641"/>
      <c r="G55" s="642" t="s">
        <v>16</v>
      </c>
      <c r="H55" s="642"/>
      <c r="J55" s="647" t="s">
        <v>31</v>
      </c>
      <c r="K55" s="647"/>
      <c r="L55" s="647"/>
      <c r="M55" s="641" t="s">
        <v>32</v>
      </c>
      <c r="N55" s="641"/>
      <c r="O55" s="641"/>
      <c r="P55" s="641"/>
      <c r="Q55" s="642" t="s">
        <v>16</v>
      </c>
      <c r="R55" s="642"/>
      <c r="S55" s="642"/>
    </row>
    <row r="56" spans="1:19">
      <c r="A56" s="641" t="s">
        <v>28</v>
      </c>
      <c r="B56" s="641"/>
      <c r="C56" s="641" t="s">
        <v>1563</v>
      </c>
      <c r="D56" s="641"/>
      <c r="E56" s="641"/>
      <c r="F56" s="641"/>
      <c r="G56" s="644" t="s">
        <v>7</v>
      </c>
      <c r="H56" s="644"/>
      <c r="J56" s="647"/>
      <c r="K56" s="647"/>
      <c r="L56" s="647"/>
      <c r="M56" s="641" t="s">
        <v>33</v>
      </c>
      <c r="N56" s="641"/>
      <c r="O56" s="641"/>
      <c r="P56" s="641"/>
      <c r="Q56" s="644" t="s">
        <v>7</v>
      </c>
      <c r="R56" s="644"/>
      <c r="S56" s="644"/>
    </row>
    <row r="57" spans="1:19">
      <c r="A57" s="641" t="s">
        <v>27</v>
      </c>
      <c r="B57" s="641"/>
      <c r="C57" s="641" t="s">
        <v>885</v>
      </c>
      <c r="D57" s="641"/>
      <c r="E57" s="641"/>
      <c r="F57" s="641"/>
      <c r="G57" s="644" t="s">
        <v>7</v>
      </c>
      <c r="H57" s="644"/>
      <c r="J57" s="517"/>
      <c r="K57" s="513"/>
      <c r="L57" s="513"/>
      <c r="M57" s="510"/>
      <c r="N57" s="510"/>
      <c r="O57" s="510"/>
      <c r="P57" s="510"/>
      <c r="Q57" s="516"/>
      <c r="R57" s="516"/>
      <c r="S57" s="516"/>
    </row>
    <row r="58" spans="1:19">
      <c r="A58" s="641" t="s">
        <v>28</v>
      </c>
      <c r="B58" s="641"/>
      <c r="C58" s="641" t="s">
        <v>30</v>
      </c>
      <c r="D58" s="641"/>
      <c r="E58" s="641"/>
      <c r="F58" s="641"/>
      <c r="G58" s="644" t="s">
        <v>7</v>
      </c>
      <c r="H58" s="644"/>
      <c r="J58" s="517"/>
      <c r="K58" s="513"/>
      <c r="L58" s="513"/>
      <c r="M58" s="510"/>
      <c r="N58" s="510"/>
      <c r="O58" s="510"/>
      <c r="P58" s="510"/>
      <c r="Q58" s="516"/>
      <c r="R58" s="516"/>
      <c r="S58" s="516"/>
    </row>
    <row r="59" spans="1:19">
      <c r="A59" s="512"/>
      <c r="B59" s="512"/>
      <c r="C59" s="512"/>
      <c r="D59" s="512"/>
      <c r="E59" s="512"/>
      <c r="F59" s="512"/>
      <c r="G59" s="512"/>
      <c r="H59" s="512"/>
      <c r="J59" s="517"/>
      <c r="K59" s="512"/>
      <c r="L59" s="512"/>
      <c r="M59" s="512"/>
      <c r="N59" s="512"/>
      <c r="O59" s="512"/>
      <c r="P59" s="512"/>
      <c r="Q59" s="512"/>
      <c r="R59" s="512"/>
      <c r="S59" s="512"/>
    </row>
    <row r="62" spans="1:19" ht="21">
      <c r="A62" s="563" t="s">
        <v>34</v>
      </c>
      <c r="B62" s="563"/>
      <c r="C62" s="563"/>
      <c r="D62" s="563"/>
      <c r="E62" s="563"/>
      <c r="F62" s="563"/>
      <c r="G62" s="563"/>
      <c r="H62" s="563"/>
      <c r="J62" s="563" t="s">
        <v>36</v>
      </c>
      <c r="K62" s="564"/>
      <c r="L62" s="563"/>
      <c r="M62" s="563"/>
      <c r="N62" s="563"/>
      <c r="O62" s="563"/>
      <c r="P62" s="563"/>
      <c r="Q62" s="563"/>
      <c r="R62" s="563"/>
      <c r="S62" s="563"/>
    </row>
    <row r="63" spans="1:19" ht="17.5">
      <c r="A63" s="569" t="s">
        <v>1</v>
      </c>
      <c r="B63" s="517"/>
      <c r="C63" s="517"/>
      <c r="D63" s="517"/>
      <c r="E63" s="517"/>
      <c r="F63" s="517"/>
      <c r="G63" s="517"/>
      <c r="H63" s="517"/>
      <c r="J63" s="569" t="s">
        <v>1</v>
      </c>
      <c r="K63" s="517"/>
      <c r="L63" s="517"/>
      <c r="M63" s="517"/>
      <c r="N63" s="517"/>
      <c r="O63" s="517"/>
      <c r="P63" s="517"/>
      <c r="Q63" s="517"/>
      <c r="R63" s="517"/>
      <c r="S63" s="517"/>
    </row>
    <row r="64" spans="1:19" ht="17.5">
      <c r="A64" s="566"/>
      <c r="B64" s="517"/>
      <c r="C64" s="517"/>
      <c r="D64" s="517"/>
      <c r="E64" s="517"/>
      <c r="F64" s="517"/>
      <c r="G64" s="517"/>
      <c r="H64" s="517"/>
      <c r="J64" s="517"/>
      <c r="K64" s="566"/>
      <c r="L64" s="517"/>
      <c r="M64" s="517"/>
      <c r="N64" s="517"/>
      <c r="O64" s="517"/>
      <c r="P64" s="517"/>
      <c r="Q64" s="517"/>
      <c r="R64" s="517"/>
      <c r="S64" s="517"/>
    </row>
    <row r="65" spans="1:19">
      <c r="A65" s="517"/>
      <c r="B65" s="517"/>
      <c r="C65" s="517"/>
      <c r="D65" s="517"/>
      <c r="E65" s="517"/>
      <c r="F65" s="517"/>
      <c r="G65" s="517"/>
      <c r="H65" s="517"/>
      <c r="J65" s="517"/>
      <c r="K65" s="517"/>
      <c r="L65" s="517"/>
      <c r="M65" s="517"/>
      <c r="N65" s="517"/>
      <c r="O65" s="517"/>
      <c r="P65" s="517"/>
      <c r="Q65" s="517"/>
      <c r="R65" s="517"/>
      <c r="S65" s="517"/>
    </row>
    <row r="66" spans="1:19">
      <c r="A66" s="517"/>
      <c r="B66" s="517"/>
      <c r="C66" s="517"/>
      <c r="D66" s="517"/>
      <c r="E66" s="517"/>
      <c r="F66" s="517"/>
      <c r="G66" s="517"/>
      <c r="H66" s="517"/>
      <c r="J66" s="517"/>
      <c r="K66" s="517"/>
      <c r="L66" s="517"/>
      <c r="M66" s="517"/>
      <c r="N66" s="517"/>
      <c r="O66" s="517"/>
      <c r="P66" s="517"/>
      <c r="Q66" s="517"/>
      <c r="R66" s="517"/>
      <c r="S66" s="517"/>
    </row>
    <row r="67" spans="1:19">
      <c r="A67" s="517"/>
      <c r="B67" s="517"/>
      <c r="C67" s="517"/>
      <c r="D67" s="517"/>
      <c r="E67" s="517"/>
      <c r="F67" s="517"/>
      <c r="G67" s="517"/>
      <c r="H67" s="517"/>
      <c r="J67" s="517"/>
      <c r="K67" s="517"/>
      <c r="L67" s="517"/>
      <c r="M67" s="517"/>
      <c r="N67" s="517"/>
      <c r="O67" s="517"/>
      <c r="P67" s="517"/>
      <c r="Q67" s="517"/>
      <c r="R67" s="517"/>
      <c r="S67" s="517"/>
    </row>
    <row r="68" spans="1:19" ht="17.5">
      <c r="A68" s="569" t="s">
        <v>13</v>
      </c>
      <c r="B68" s="566"/>
      <c r="C68" s="517"/>
      <c r="D68" s="517"/>
      <c r="E68" s="517"/>
      <c r="F68" s="517"/>
      <c r="G68" s="517"/>
      <c r="H68" s="517"/>
      <c r="J68" s="569" t="s">
        <v>13</v>
      </c>
      <c r="K68" s="517"/>
      <c r="L68" s="566"/>
      <c r="M68" s="517"/>
      <c r="N68" s="517"/>
      <c r="O68" s="517"/>
      <c r="P68" s="517"/>
      <c r="Q68" s="517"/>
      <c r="R68" s="517"/>
      <c r="S68" s="517"/>
    </row>
    <row r="69" spans="1:19">
      <c r="A69" s="646" t="s">
        <v>3</v>
      </c>
      <c r="B69" s="646"/>
      <c r="C69" s="646" t="s">
        <v>4</v>
      </c>
      <c r="D69" s="646"/>
      <c r="E69" s="646"/>
      <c r="F69" s="646"/>
      <c r="G69" s="646" t="s">
        <v>5</v>
      </c>
      <c r="H69" s="646"/>
      <c r="J69" s="646" t="s">
        <v>3</v>
      </c>
      <c r="K69" s="646"/>
      <c r="L69" s="646"/>
      <c r="M69" s="646" t="s">
        <v>4</v>
      </c>
      <c r="N69" s="646"/>
      <c r="O69" s="646"/>
      <c r="P69" s="646"/>
      <c r="Q69" s="646" t="s">
        <v>5</v>
      </c>
      <c r="R69" s="646"/>
      <c r="S69" s="646"/>
    </row>
    <row r="70" spans="1:19" ht="16.5" customHeight="1">
      <c r="A70" s="647" t="s">
        <v>34</v>
      </c>
      <c r="B70" s="647"/>
      <c r="C70" s="641" t="s">
        <v>35</v>
      </c>
      <c r="D70" s="641"/>
      <c r="E70" s="641"/>
      <c r="F70" s="641"/>
      <c r="G70" s="642" t="s">
        <v>1618</v>
      </c>
      <c r="H70" s="642"/>
      <c r="J70" s="647" t="s">
        <v>38</v>
      </c>
      <c r="K70" s="647"/>
      <c r="L70" s="647"/>
      <c r="M70" s="641" t="s">
        <v>37</v>
      </c>
      <c r="N70" s="641"/>
      <c r="O70" s="641"/>
      <c r="P70" s="641"/>
      <c r="Q70" s="644" t="s">
        <v>7</v>
      </c>
      <c r="R70" s="644"/>
      <c r="S70" s="644"/>
    </row>
    <row r="71" spans="1:19">
      <c r="A71" s="513"/>
      <c r="B71" s="513"/>
      <c r="C71" s="510"/>
      <c r="D71" s="510"/>
      <c r="E71" s="510"/>
      <c r="F71" s="510"/>
      <c r="G71" s="514"/>
      <c r="H71" s="515"/>
      <c r="J71" s="647"/>
      <c r="K71" s="647"/>
      <c r="L71" s="647"/>
      <c r="M71" s="641" t="s">
        <v>22</v>
      </c>
      <c r="N71" s="641"/>
      <c r="O71" s="641"/>
      <c r="P71" s="641"/>
      <c r="Q71" s="643"/>
      <c r="R71" s="643"/>
      <c r="S71" s="643"/>
    </row>
    <row r="72" spans="1:19">
      <c r="A72" s="512"/>
      <c r="B72" s="512"/>
      <c r="C72" s="512"/>
      <c r="D72" s="512"/>
      <c r="E72" s="512"/>
      <c r="F72" s="512"/>
      <c r="G72" s="512"/>
      <c r="H72" s="512"/>
      <c r="J72" s="517"/>
      <c r="K72" s="512"/>
      <c r="L72" s="512"/>
      <c r="M72" s="512"/>
      <c r="N72" s="512"/>
      <c r="O72" s="512"/>
      <c r="P72" s="512"/>
      <c r="Q72" s="512"/>
      <c r="R72" s="512"/>
      <c r="S72" s="512"/>
    </row>
    <row r="75" spans="1:19" ht="21">
      <c r="A75" s="563" t="s">
        <v>1210</v>
      </c>
      <c r="B75" s="563"/>
      <c r="C75" s="563"/>
      <c r="D75" s="563"/>
      <c r="E75" s="563"/>
      <c r="F75" s="563"/>
      <c r="G75" s="563"/>
      <c r="H75" s="563"/>
      <c r="J75" s="563" t="s">
        <v>881</v>
      </c>
      <c r="K75" s="564"/>
      <c r="L75" s="563"/>
      <c r="M75" s="563"/>
      <c r="N75" s="563"/>
      <c r="O75" s="563"/>
      <c r="P75" s="563"/>
      <c r="Q75" s="563"/>
      <c r="R75" s="563"/>
      <c r="S75" s="563"/>
    </row>
    <row r="76" spans="1:19" ht="17.5">
      <c r="A76" s="569" t="s">
        <v>1</v>
      </c>
      <c r="B76" s="517"/>
      <c r="C76" s="517"/>
      <c r="D76" s="517"/>
      <c r="E76" s="517"/>
      <c r="F76" s="517"/>
      <c r="G76" s="517"/>
      <c r="H76" s="517"/>
      <c r="J76" s="569" t="s">
        <v>1</v>
      </c>
      <c r="K76" s="517"/>
      <c r="L76" s="517"/>
      <c r="M76" s="517"/>
      <c r="N76" s="517"/>
      <c r="O76" s="517"/>
      <c r="P76" s="517"/>
      <c r="Q76" s="517"/>
      <c r="R76" s="517"/>
      <c r="S76" s="517"/>
    </row>
    <row r="77" spans="1:19" ht="17.5">
      <c r="A77" s="566"/>
      <c r="B77" s="517"/>
      <c r="C77" s="517"/>
      <c r="D77" s="517"/>
      <c r="E77" s="517"/>
      <c r="F77" s="517"/>
      <c r="G77" s="517"/>
      <c r="H77" s="517"/>
      <c r="J77" s="517"/>
      <c r="K77" s="566"/>
      <c r="L77" s="517"/>
      <c r="M77" s="517"/>
      <c r="N77" s="517"/>
      <c r="O77" s="517"/>
      <c r="P77" s="517"/>
      <c r="Q77" s="517"/>
      <c r="R77" s="517"/>
      <c r="S77" s="517"/>
    </row>
    <row r="78" spans="1:19">
      <c r="A78" s="517"/>
      <c r="B78" s="517"/>
      <c r="C78" s="517"/>
      <c r="D78" s="517"/>
      <c r="E78" s="517"/>
      <c r="F78" s="517"/>
      <c r="G78" s="517"/>
      <c r="H78" s="517"/>
      <c r="J78" s="517"/>
      <c r="K78" s="517"/>
      <c r="L78" s="517"/>
      <c r="M78" s="517"/>
      <c r="N78" s="517"/>
      <c r="O78" s="517"/>
      <c r="P78" s="517"/>
      <c r="Q78" s="517"/>
      <c r="R78" s="517"/>
      <c r="S78" s="517"/>
    </row>
    <row r="79" spans="1:19">
      <c r="A79" s="517"/>
      <c r="B79" s="517"/>
      <c r="C79" s="517"/>
      <c r="D79" s="517"/>
      <c r="E79" s="517"/>
      <c r="F79" s="517"/>
      <c r="G79" s="517"/>
      <c r="H79" s="517"/>
      <c r="J79" s="517"/>
      <c r="K79" s="517"/>
      <c r="L79" s="517"/>
      <c r="M79" s="517"/>
      <c r="N79" s="517"/>
      <c r="O79" s="517"/>
      <c r="P79" s="517"/>
      <c r="Q79" s="517"/>
      <c r="R79" s="517"/>
      <c r="S79" s="517"/>
    </row>
    <row r="80" spans="1:19">
      <c r="A80" s="517"/>
      <c r="B80" s="517"/>
      <c r="C80" s="517"/>
      <c r="D80" s="517"/>
      <c r="E80" s="517"/>
      <c r="F80" s="517"/>
      <c r="G80" s="517"/>
      <c r="H80" s="517"/>
      <c r="J80" s="517"/>
      <c r="K80" s="517"/>
      <c r="L80" s="517"/>
      <c r="M80" s="517"/>
      <c r="N80" s="517"/>
      <c r="O80" s="517"/>
      <c r="P80" s="517"/>
      <c r="Q80" s="517"/>
      <c r="R80" s="517"/>
      <c r="S80" s="517"/>
    </row>
    <row r="81" spans="1:19" ht="16.5" customHeight="1">
      <c r="A81" s="569" t="s">
        <v>13</v>
      </c>
      <c r="B81" s="566"/>
      <c r="C81" s="517"/>
      <c r="D81" s="517"/>
      <c r="E81" s="517"/>
      <c r="F81" s="517"/>
      <c r="G81" s="517"/>
      <c r="H81" s="517"/>
      <c r="J81" s="517"/>
      <c r="K81" s="566"/>
      <c r="L81" s="566"/>
      <c r="M81" s="517"/>
      <c r="N81" s="517"/>
      <c r="O81" s="517"/>
      <c r="P81" s="517"/>
      <c r="Q81" s="517"/>
      <c r="R81" s="517"/>
      <c r="S81" s="517"/>
    </row>
    <row r="82" spans="1:19" ht="17.5">
      <c r="A82" s="646" t="s">
        <v>3</v>
      </c>
      <c r="B82" s="646"/>
      <c r="C82" s="646" t="s">
        <v>4</v>
      </c>
      <c r="D82" s="646"/>
      <c r="E82" s="646"/>
      <c r="F82" s="646"/>
      <c r="G82" s="646" t="s">
        <v>5</v>
      </c>
      <c r="H82" s="646"/>
      <c r="J82" s="569" t="s">
        <v>13</v>
      </c>
      <c r="K82" s="517"/>
      <c r="L82" s="566"/>
      <c r="M82" s="517"/>
      <c r="N82" s="517"/>
      <c r="O82" s="517"/>
      <c r="P82" s="517"/>
      <c r="Q82" s="517"/>
      <c r="R82" s="517"/>
      <c r="S82" s="517"/>
    </row>
    <row r="83" spans="1:19">
      <c r="A83" s="647" t="s">
        <v>1213</v>
      </c>
      <c r="B83" s="647"/>
      <c r="C83" s="641" t="s">
        <v>1211</v>
      </c>
      <c r="D83" s="641"/>
      <c r="E83" s="641"/>
      <c r="F83" s="641"/>
      <c r="G83" s="642" t="s">
        <v>16</v>
      </c>
      <c r="H83" s="642"/>
      <c r="J83" s="646" t="s">
        <v>3</v>
      </c>
      <c r="K83" s="646"/>
      <c r="L83" s="646"/>
      <c r="M83" s="646" t="s">
        <v>4</v>
      </c>
      <c r="N83" s="646"/>
      <c r="O83" s="646"/>
      <c r="P83" s="646"/>
      <c r="Q83" s="646" t="s">
        <v>5</v>
      </c>
      <c r="R83" s="646"/>
      <c r="S83" s="646"/>
    </row>
    <row r="84" spans="1:19" ht="16.5" customHeight="1">
      <c r="A84" s="647"/>
      <c r="B84" s="647"/>
      <c r="C84" s="641" t="s">
        <v>1212</v>
      </c>
      <c r="D84" s="641"/>
      <c r="E84" s="641"/>
      <c r="F84" s="641"/>
      <c r="G84" s="644" t="s">
        <v>7</v>
      </c>
      <c r="H84" s="644"/>
      <c r="J84" s="647" t="s">
        <v>882</v>
      </c>
      <c r="K84" s="647"/>
      <c r="L84" s="647"/>
      <c r="M84" s="641" t="s">
        <v>883</v>
      </c>
      <c r="N84" s="641"/>
      <c r="O84" s="641"/>
      <c r="P84" s="641"/>
      <c r="Q84" s="642" t="s">
        <v>16</v>
      </c>
      <c r="R84" s="642"/>
      <c r="S84" s="642"/>
    </row>
    <row r="85" spans="1:19">
      <c r="A85" s="512"/>
      <c r="B85" s="512"/>
      <c r="C85" s="512"/>
      <c r="D85" s="512"/>
      <c r="E85" s="512"/>
      <c r="F85" s="512"/>
      <c r="G85" s="512"/>
      <c r="H85" s="512"/>
      <c r="J85" s="647"/>
      <c r="K85" s="647"/>
      <c r="L85" s="647"/>
      <c r="M85" s="641" t="s">
        <v>884</v>
      </c>
      <c r="N85" s="641"/>
      <c r="O85" s="641"/>
      <c r="P85" s="641"/>
      <c r="Q85" s="643"/>
      <c r="R85" s="643"/>
      <c r="S85" s="643"/>
    </row>
    <row r="86" spans="1:19" ht="16.5" customHeight="1">
      <c r="A86" s="517"/>
      <c r="B86" s="517"/>
      <c r="C86" s="517"/>
      <c r="D86" s="517"/>
      <c r="E86" s="517"/>
      <c r="F86" s="517"/>
      <c r="G86" s="517"/>
      <c r="H86" s="517"/>
      <c r="J86" s="647" t="s">
        <v>880</v>
      </c>
      <c r="K86" s="647"/>
      <c r="L86" s="647"/>
      <c r="M86" s="641" t="s">
        <v>39</v>
      </c>
      <c r="N86" s="641"/>
      <c r="O86" s="641"/>
      <c r="P86" s="641"/>
      <c r="Q86" s="642" t="s">
        <v>16</v>
      </c>
      <c r="R86" s="642"/>
      <c r="S86" s="642"/>
    </row>
    <row r="87" spans="1:19">
      <c r="A87" s="517"/>
      <c r="B87" s="517"/>
      <c r="C87" s="517"/>
      <c r="D87" s="517"/>
      <c r="E87" s="517"/>
      <c r="F87" s="517"/>
      <c r="G87" s="517"/>
      <c r="H87" s="517"/>
      <c r="J87" s="517"/>
      <c r="K87" s="512"/>
      <c r="L87" s="512"/>
      <c r="M87" s="512"/>
      <c r="N87" s="512"/>
      <c r="O87" s="512"/>
      <c r="P87" s="512"/>
      <c r="Q87" s="512"/>
      <c r="R87" s="512"/>
      <c r="S87" s="512"/>
    </row>
  </sheetData>
  <mergeCells count="123">
    <mergeCell ref="G82:H82"/>
    <mergeCell ref="G83:H83"/>
    <mergeCell ref="G84:H84"/>
    <mergeCell ref="J83:L83"/>
    <mergeCell ref="J84:L85"/>
    <mergeCell ref="J86:L86"/>
    <mergeCell ref="J36:L36"/>
    <mergeCell ref="J37:L41"/>
    <mergeCell ref="J54:L54"/>
    <mergeCell ref="J55:L56"/>
    <mergeCell ref="J69:L69"/>
    <mergeCell ref="J70:L71"/>
    <mergeCell ref="G57:H57"/>
    <mergeCell ref="G58:H58"/>
    <mergeCell ref="G36:H36"/>
    <mergeCell ref="G37:H37"/>
    <mergeCell ref="G38:H38"/>
    <mergeCell ref="G39:H39"/>
    <mergeCell ref="G42:H42"/>
    <mergeCell ref="G69:H69"/>
    <mergeCell ref="G70:H70"/>
    <mergeCell ref="A20:A25"/>
    <mergeCell ref="B25:F25"/>
    <mergeCell ref="R21:S21"/>
    <mergeCell ref="R20:S20"/>
    <mergeCell ref="B24:F24"/>
    <mergeCell ref="C36:F36"/>
    <mergeCell ref="A37:B38"/>
    <mergeCell ref="C39:F39"/>
    <mergeCell ref="B23:F23"/>
    <mergeCell ref="B22:F22"/>
    <mergeCell ref="B21:F21"/>
    <mergeCell ref="B20:F20"/>
    <mergeCell ref="R22:S22"/>
    <mergeCell ref="R23:S23"/>
    <mergeCell ref="A36:B36"/>
    <mergeCell ref="C38:F38"/>
    <mergeCell ref="C37:F37"/>
    <mergeCell ref="Q70:S70"/>
    <mergeCell ref="M69:P69"/>
    <mergeCell ref="Q69:S69"/>
    <mergeCell ref="M70:P70"/>
    <mergeCell ref="M36:P36"/>
    <mergeCell ref="Q36:S36"/>
    <mergeCell ref="M38:P38"/>
    <mergeCell ref="M37:P37"/>
    <mergeCell ref="M39:P39"/>
    <mergeCell ref="Q38:S38"/>
    <mergeCell ref="Q37:S37"/>
    <mergeCell ref="M56:P56"/>
    <mergeCell ref="Q56:S56"/>
    <mergeCell ref="C84:F84"/>
    <mergeCell ref="M41:P41"/>
    <mergeCell ref="M83:P83"/>
    <mergeCell ref="A70:B70"/>
    <mergeCell ref="A69:B69"/>
    <mergeCell ref="C55:F55"/>
    <mergeCell ref="M54:P54"/>
    <mergeCell ref="A82:B82"/>
    <mergeCell ref="C82:F82"/>
    <mergeCell ref="C69:F69"/>
    <mergeCell ref="C70:F70"/>
    <mergeCell ref="C41:F41"/>
    <mergeCell ref="A39:A43"/>
    <mergeCell ref="C42:F42"/>
    <mergeCell ref="C43:F43"/>
    <mergeCell ref="C40:F40"/>
    <mergeCell ref="A56:B56"/>
    <mergeCell ref="C56:F56"/>
    <mergeCell ref="G54:H54"/>
    <mergeCell ref="G55:H55"/>
    <mergeCell ref="G56:H56"/>
    <mergeCell ref="A55:B55"/>
    <mergeCell ref="A54:B54"/>
    <mergeCell ref="C54:F54"/>
    <mergeCell ref="B13:F13"/>
    <mergeCell ref="M86:P86"/>
    <mergeCell ref="Q86:S86"/>
    <mergeCell ref="Q85:S85"/>
    <mergeCell ref="M85:P85"/>
    <mergeCell ref="M55:P55"/>
    <mergeCell ref="Q55:S55"/>
    <mergeCell ref="Q39:S39"/>
    <mergeCell ref="M40:P40"/>
    <mergeCell ref="Q40:S40"/>
    <mergeCell ref="Q41:S41"/>
    <mergeCell ref="M84:P84"/>
    <mergeCell ref="Q84:S84"/>
    <mergeCell ref="M71:P71"/>
    <mergeCell ref="Q71:S71"/>
    <mergeCell ref="Q83:S83"/>
    <mergeCell ref="Q54:S54"/>
    <mergeCell ref="C57:F57"/>
    <mergeCell ref="C58:F58"/>
    <mergeCell ref="B42:B43"/>
    <mergeCell ref="A58:B58"/>
    <mergeCell ref="A57:B57"/>
    <mergeCell ref="A83:B84"/>
    <mergeCell ref="C83:F83"/>
    <mergeCell ref="A1:S4"/>
    <mergeCell ref="A6:G6"/>
    <mergeCell ref="B16:F16"/>
    <mergeCell ref="B8:F8"/>
    <mergeCell ref="B14:F14"/>
    <mergeCell ref="B7:F7"/>
    <mergeCell ref="B10:F10"/>
    <mergeCell ref="B15:F15"/>
    <mergeCell ref="R17:S17"/>
    <mergeCell ref="N17:Q17"/>
    <mergeCell ref="I17:M17"/>
    <mergeCell ref="B17:F17"/>
    <mergeCell ref="B11:F11"/>
    <mergeCell ref="B12:F12"/>
    <mergeCell ref="Q5:S5"/>
    <mergeCell ref="A8:A19"/>
    <mergeCell ref="B9:F9"/>
    <mergeCell ref="R19:S19"/>
    <mergeCell ref="B18:F18"/>
    <mergeCell ref="I18:J18"/>
    <mergeCell ref="B19:F19"/>
    <mergeCell ref="R18:S18"/>
    <mergeCell ref="N18:Q18"/>
    <mergeCell ref="K18:M18"/>
  </mergeCells>
  <phoneticPr fontId="4" type="noConversion"/>
  <hyperlinks>
    <hyperlink ref="Q40" r:id="rId1" display="바로가기" xr:uid="{00000000-0004-0000-0000-000000000000}"/>
    <hyperlink ref="Q38:S38" location="'9'!A1" display="서식 바로가기" xr:uid="{00000000-0004-0000-0000-000001000000}"/>
    <hyperlink ref="Q39:S39" location="'9'!A1" display="서식 바로가기" xr:uid="{00000000-0004-0000-0000-000002000000}"/>
    <hyperlink ref="Q70:S70" location="'3'!A1" display="서식 바로가기" xr:uid="{00000000-0004-0000-0000-000004000000}"/>
    <hyperlink ref="R18:S18" location="'6'!A1" display="서식 바로가기" xr:uid="{00000000-0004-0000-0000-00000A000000}"/>
    <hyperlink ref="R19:S19" location="'1'!A1" display="서식 바로가기" xr:uid="{00000000-0004-0000-0000-00000C000000}"/>
    <hyperlink ref="R20:S20" location="'1'!A1" display="서식 바로가기" xr:uid="{00000000-0004-0000-0000-00000D000000}"/>
    <hyperlink ref="R21:S21" location="'8'!A1" display="서식 바로가기" xr:uid="{00000000-0004-0000-0000-00000E000000}"/>
    <hyperlink ref="R22:S22" location="'7'!A1" display="서식 바로가기" xr:uid="{00000000-0004-0000-0000-00000F000000}"/>
    <hyperlink ref="R23:S23" location="'1'!A1" display="서식 바로가기" xr:uid="{00000000-0004-0000-0000-000010000000}"/>
    <hyperlink ref="G8" location="'1'!A1" display="1" xr:uid="{00000000-0004-0000-0000-000011000000}"/>
    <hyperlink ref="G9" location="'2-1'!A1" display="2-1" xr:uid="{00000000-0004-0000-0000-000012000000}"/>
    <hyperlink ref="G10" location="'2-2'!A1" display="2-2" xr:uid="{00000000-0004-0000-0000-000013000000}"/>
    <hyperlink ref="G11" location="'3'!A1" display="3" xr:uid="{00000000-0004-0000-0000-000014000000}"/>
    <hyperlink ref="G12" location="'4'!A1" display="4" xr:uid="{00000000-0004-0000-0000-000015000000}"/>
    <hyperlink ref="G14" location="'6'!A1" display="6" xr:uid="{00000000-0004-0000-0000-000016000000}"/>
    <hyperlink ref="G15" location="'7'!Print_Area" display="7" xr:uid="{00000000-0004-0000-0000-000017000000}"/>
    <hyperlink ref="G16" location="'8'!A1" display="8" xr:uid="{00000000-0004-0000-0000-000018000000}"/>
    <hyperlink ref="G17" location="'9'!A1" display="9" xr:uid="{00000000-0004-0000-0000-000019000000}"/>
    <hyperlink ref="G18" location="'10'!A1" display="10" xr:uid="{00000000-0004-0000-0000-00001A000000}"/>
    <hyperlink ref="G19" location="'11'!A1" display="11" xr:uid="{00000000-0004-0000-0000-00001B000000}"/>
    <hyperlink ref="G20" location="A!A1" display="A" xr:uid="{00000000-0004-0000-0000-00001C000000}"/>
    <hyperlink ref="G21" location="' B'!A1" display="B" xr:uid="{00000000-0004-0000-0000-00001D000000}"/>
    <hyperlink ref="G22" location="'C'!A1" display="C" xr:uid="{00000000-0004-0000-0000-00001E000000}"/>
    <hyperlink ref="G23" location="D!A1" display="D" xr:uid="{00000000-0004-0000-0000-00001F000000}"/>
    <hyperlink ref="G24" location="E!A1" display="E" xr:uid="{00000000-0004-0000-0000-000020000000}"/>
    <hyperlink ref="G25" location="F!A1" display="F" xr:uid="{00000000-0004-0000-0000-000021000000}"/>
    <hyperlink ref="G38" location="F!A1" display="서식 바로가기" xr:uid="{00000000-0004-0000-0000-000022000000}"/>
    <hyperlink ref="G39" location="'2-1'!A1" display="서식 바로가기" xr:uid="{00000000-0004-0000-0000-000023000000}"/>
    <hyperlink ref="G42" location="'2-2'!A1" display="서식 바로가기" xr:uid="{00000000-0004-0000-0000-000024000000}"/>
    <hyperlink ref="G57" location="A!A1" display="서식 바로가기" xr:uid="{00000000-0004-0000-0000-000025000000}"/>
    <hyperlink ref="G58" location="A!A1" display="서식 바로가기" xr:uid="{00000000-0004-0000-0000-000026000000}"/>
    <hyperlink ref="G84" location="'11'!A1" display="서식 바로가기" xr:uid="{00000000-0004-0000-0000-000027000000}"/>
    <hyperlink ref="G13" location="'5'!A1" display="5" xr:uid="{5D04EDF7-06D3-4753-A760-8121CFB614E9}"/>
    <hyperlink ref="G56" location="'5'!A1" display="서식 바로가기" xr:uid="{8A4F2BD1-CE94-40B4-B82F-5669FB2D3DA1}"/>
    <hyperlink ref="Q56:S56" location="'10'!A1" display="서식 바로가기" xr:uid="{6A26030E-CB41-41D0-8E8F-98984051102E}"/>
  </hyperlinks>
  <pageMargins left="0.25" right="0.25" top="0.75" bottom="0.75" header="0.3" footer="0.3"/>
  <pageSetup paperSize="9" scale="47" orientation="portrait" r:id="rId2"/>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4" tint="-0.499984740745262"/>
    <pageSetUpPr fitToPage="1"/>
  </sheetPr>
  <dimension ref="A1:AN219"/>
  <sheetViews>
    <sheetView showGridLines="0" topLeftCell="H44" zoomScale="70" zoomScaleNormal="70" workbookViewId="0">
      <selection activeCell="V20" sqref="V20:AD20"/>
    </sheetView>
  </sheetViews>
  <sheetFormatPr defaultColWidth="9" defaultRowHeight="17"/>
  <cols>
    <col min="1" max="1" width="1.25" style="215" customWidth="1"/>
    <col min="2" max="2" width="13.08203125" style="214" customWidth="1"/>
    <col min="3" max="3" width="6.25" style="214" customWidth="1"/>
    <col min="4" max="4" width="9" style="214"/>
    <col min="5" max="5" width="13.75" style="214" customWidth="1"/>
    <col min="6" max="6" width="10.6640625" style="214" customWidth="1"/>
    <col min="7" max="7" width="14.08203125" style="214" customWidth="1"/>
    <col min="8" max="8" width="9.4140625" style="214" customWidth="1"/>
    <col min="9" max="9" width="16.75" style="214" customWidth="1"/>
    <col min="10" max="10" width="16" style="214" customWidth="1"/>
    <col min="11" max="11" width="1.25" style="215" customWidth="1"/>
    <col min="12" max="12" width="13.08203125" style="214" customWidth="1"/>
    <col min="13" max="13" width="6.25" style="214" customWidth="1"/>
    <col min="14" max="14" width="9" style="214"/>
    <col min="15" max="15" width="13.75" style="214" customWidth="1"/>
    <col min="16" max="16" width="10.6640625" style="214" customWidth="1"/>
    <col min="17" max="17" width="14.08203125" style="214" customWidth="1"/>
    <col min="18" max="18" width="9.4140625" style="214" customWidth="1"/>
    <col min="19" max="19" width="16.75" style="214" customWidth="1"/>
    <col min="20" max="20" width="16" style="214" customWidth="1"/>
    <col min="21" max="21" width="1.25" style="215" customWidth="1"/>
    <col min="22" max="22" width="13.08203125" style="214" customWidth="1"/>
    <col min="23" max="23" width="6.25" style="214" customWidth="1"/>
    <col min="24" max="24" width="9" style="214"/>
    <col min="25" max="25" width="13.75" style="214" customWidth="1"/>
    <col min="26" max="26" width="10.6640625" style="214" customWidth="1"/>
    <col min="27" max="27" width="14.08203125" style="214" customWidth="1"/>
    <col min="28" max="28" width="12" style="214" customWidth="1"/>
    <col min="29" max="29" width="16.75" style="214" customWidth="1"/>
    <col min="30" max="30" width="17.6640625" style="214" customWidth="1"/>
    <col min="31" max="31" width="3.08203125" style="216" customWidth="1"/>
    <col min="32" max="32" width="13.08203125" customWidth="1"/>
    <col min="33" max="33" width="8.75"/>
    <col min="34" max="34" width="10" customWidth="1"/>
    <col min="35" max="35" width="13.75" customWidth="1"/>
    <col min="36" max="36" width="10.6640625" customWidth="1"/>
    <col min="37" max="37" width="14.08203125" customWidth="1"/>
    <col min="38" max="38" width="8.75"/>
    <col min="39" max="39" width="16.75" customWidth="1"/>
    <col min="40" max="40" width="17.6640625" customWidth="1"/>
    <col min="41" max="41" width="10.75" style="216" customWidth="1"/>
    <col min="42" max="16384" width="9" style="216"/>
  </cols>
  <sheetData>
    <row r="1" spans="1:40" ht="33" customHeight="1">
      <c r="D1" s="699"/>
      <c r="E1" s="699"/>
      <c r="F1" s="699"/>
      <c r="G1" s="699"/>
      <c r="X1" s="699"/>
      <c r="Y1" s="699"/>
      <c r="Z1" s="699"/>
      <c r="AA1" s="699"/>
      <c r="AF1" s="214"/>
      <c r="AG1" s="214"/>
      <c r="AH1" s="699"/>
      <c r="AI1" s="699"/>
      <c r="AJ1" s="699"/>
      <c r="AK1" s="699"/>
      <c r="AL1" s="214"/>
      <c r="AM1" s="214"/>
      <c r="AN1" s="214"/>
    </row>
    <row r="2" spans="1:40" s="212" customFormat="1" ht="27.75" customHeight="1">
      <c r="A2" s="211"/>
      <c r="B2" s="209" t="s">
        <v>1026</v>
      </c>
      <c r="C2" s="210"/>
      <c r="D2" s="210"/>
      <c r="E2" s="210"/>
      <c r="F2" s="210"/>
      <c r="G2" s="210"/>
      <c r="H2" s="210"/>
      <c r="I2" s="210"/>
      <c r="J2" s="210"/>
      <c r="K2" s="211"/>
      <c r="L2" s="209" t="s">
        <v>1148</v>
      </c>
      <c r="M2" s="210"/>
      <c r="N2" s="210"/>
      <c r="O2" s="210"/>
      <c r="P2" s="210"/>
      <c r="Q2" s="210"/>
      <c r="R2" s="210"/>
      <c r="S2" s="210"/>
      <c r="T2" s="210"/>
      <c r="U2" s="211"/>
      <c r="V2" s="209" t="s">
        <v>940</v>
      </c>
      <c r="W2" s="210"/>
      <c r="X2" s="210"/>
      <c r="Y2" s="210"/>
      <c r="Z2" s="210"/>
      <c r="AA2" s="210"/>
      <c r="AB2" s="210"/>
      <c r="AC2" s="210"/>
      <c r="AD2" s="210"/>
      <c r="AF2" s="209" t="s">
        <v>940</v>
      </c>
      <c r="AG2" s="210"/>
      <c r="AH2" s="210"/>
      <c r="AI2" s="210"/>
      <c r="AJ2" s="210"/>
      <c r="AK2" s="210"/>
      <c r="AL2" s="210"/>
      <c r="AM2" s="210"/>
      <c r="AN2" s="210"/>
    </row>
    <row r="3" spans="1:40" s="212" customFormat="1" ht="27.75" customHeight="1">
      <c r="A3" s="211"/>
      <c r="B3" s="209" t="s">
        <v>46</v>
      </c>
      <c r="C3" s="210"/>
      <c r="D3" s="210"/>
      <c r="E3" s="210"/>
      <c r="F3" s="210"/>
      <c r="G3" s="210"/>
      <c r="H3" s="210"/>
      <c r="I3" s="210"/>
      <c r="J3" s="210"/>
      <c r="K3" s="211"/>
      <c r="L3" s="213"/>
      <c r="M3" s="210"/>
      <c r="N3" s="210"/>
      <c r="O3" s="210"/>
      <c r="P3" s="210"/>
      <c r="Q3" s="210"/>
      <c r="R3" s="210"/>
      <c r="S3" s="210"/>
      <c r="T3" s="210"/>
      <c r="U3" s="211"/>
      <c r="V3" s="209"/>
      <c r="W3" s="210"/>
      <c r="X3" s="210"/>
      <c r="Y3" s="210"/>
      <c r="Z3" s="210"/>
      <c r="AA3" s="210"/>
      <c r="AB3" s="210"/>
      <c r="AC3" s="210"/>
      <c r="AD3" s="210"/>
      <c r="AF3" s="209"/>
      <c r="AG3" s="210"/>
      <c r="AH3" s="210"/>
      <c r="AI3" s="210"/>
      <c r="AJ3" s="210"/>
      <c r="AK3" s="210"/>
      <c r="AL3" s="210"/>
      <c r="AM3" s="210"/>
      <c r="AN3" s="210"/>
    </row>
    <row r="4" spans="1:40" ht="16">
      <c r="B4" s="217"/>
      <c r="C4" s="218"/>
      <c r="D4" s="218"/>
      <c r="E4" s="218"/>
      <c r="F4" s="218"/>
      <c r="G4" s="218"/>
      <c r="H4" s="218"/>
      <c r="I4" s="218"/>
      <c r="J4" s="219"/>
      <c r="L4" s="217"/>
      <c r="M4" s="218"/>
      <c r="N4" s="218"/>
      <c r="O4" s="218"/>
      <c r="P4" s="218"/>
      <c r="Q4" s="218"/>
      <c r="R4" s="218"/>
      <c r="S4" s="218"/>
      <c r="T4" s="219"/>
      <c r="V4" s="217"/>
      <c r="W4" s="218"/>
      <c r="X4" s="218"/>
      <c r="Y4" s="218"/>
      <c r="Z4" s="218"/>
      <c r="AA4" s="218"/>
      <c r="AB4" s="218"/>
      <c r="AC4" s="218"/>
      <c r="AD4" s="219"/>
      <c r="AF4" s="217"/>
      <c r="AG4" s="218"/>
      <c r="AH4" s="218"/>
      <c r="AI4" s="218"/>
      <c r="AJ4" s="218"/>
      <c r="AK4" s="218"/>
      <c r="AL4" s="218"/>
      <c r="AM4" s="218"/>
      <c r="AN4" s="219"/>
    </row>
    <row r="5" spans="1:40" ht="68.25" customHeight="1">
      <c r="B5" s="700" t="s">
        <v>1128</v>
      </c>
      <c r="C5" s="701"/>
      <c r="D5" s="701"/>
      <c r="E5" s="701"/>
      <c r="F5" s="701"/>
      <c r="G5" s="701"/>
      <c r="H5" s="701"/>
      <c r="I5" s="701"/>
      <c r="J5" s="702"/>
      <c r="L5" s="737" t="s">
        <v>47</v>
      </c>
      <c r="M5" s="738"/>
      <c r="N5" s="738"/>
      <c r="O5" s="738"/>
      <c r="P5" s="738"/>
      <c r="Q5" s="738"/>
      <c r="R5" s="738"/>
      <c r="S5" s="738"/>
      <c r="T5" s="739"/>
      <c r="V5" s="700" t="s">
        <v>1113</v>
      </c>
      <c r="W5" s="701"/>
      <c r="X5" s="701"/>
      <c r="Y5" s="701"/>
      <c r="Z5" s="701"/>
      <c r="AA5" s="701"/>
      <c r="AB5" s="701"/>
      <c r="AC5" s="701"/>
      <c r="AD5" s="702"/>
      <c r="AF5" s="700" t="s">
        <v>1229</v>
      </c>
      <c r="AG5" s="701"/>
      <c r="AH5" s="701"/>
      <c r="AI5" s="701"/>
      <c r="AJ5" s="701"/>
      <c r="AK5" s="701"/>
      <c r="AL5" s="701"/>
      <c r="AM5" s="701"/>
      <c r="AN5" s="702"/>
    </row>
    <row r="6" spans="1:40" ht="16">
      <c r="B6" s="220"/>
      <c r="J6" s="221"/>
      <c r="L6" s="220"/>
      <c r="T6" s="221"/>
      <c r="V6" s="220"/>
      <c r="AD6" s="221"/>
      <c r="AF6" s="220"/>
      <c r="AG6" s="214"/>
      <c r="AH6" s="214"/>
      <c r="AI6" s="214"/>
      <c r="AJ6" s="214"/>
      <c r="AK6" s="214"/>
      <c r="AL6" s="214"/>
      <c r="AM6" s="214"/>
      <c r="AN6" s="221"/>
    </row>
    <row r="7" spans="1:40" ht="16.5" customHeight="1">
      <c r="B7" s="220" t="s">
        <v>48</v>
      </c>
      <c r="C7" s="692" t="s">
        <v>809</v>
      </c>
      <c r="D7" s="692"/>
      <c r="E7" s="692"/>
      <c r="F7" s="216" t="s">
        <v>50</v>
      </c>
      <c r="G7" s="215"/>
      <c r="H7" s="215"/>
      <c r="I7" s="354" t="s">
        <v>51</v>
      </c>
      <c r="J7" s="222" t="s">
        <v>52</v>
      </c>
      <c r="L7" s="220" t="s">
        <v>48</v>
      </c>
      <c r="M7" s="692" t="s">
        <v>809</v>
      </c>
      <c r="N7" s="692"/>
      <c r="O7" s="692"/>
      <c r="P7" s="216" t="s">
        <v>50</v>
      </c>
      <c r="Q7" s="215"/>
      <c r="R7" s="215"/>
      <c r="S7" s="354" t="s">
        <v>51</v>
      </c>
      <c r="T7" s="222" t="s">
        <v>52</v>
      </c>
      <c r="V7" s="220" t="s">
        <v>48</v>
      </c>
      <c r="W7" s="692" t="s">
        <v>1586</v>
      </c>
      <c r="X7" s="692"/>
      <c r="Y7" s="692"/>
      <c r="Z7" s="216" t="s">
        <v>1219</v>
      </c>
      <c r="AA7" s="215"/>
      <c r="AB7" s="215"/>
      <c r="AC7" s="223"/>
      <c r="AD7" s="222"/>
      <c r="AF7" s="220" t="s">
        <v>48</v>
      </c>
      <c r="AG7" s="692" t="s">
        <v>809</v>
      </c>
      <c r="AH7" s="692"/>
      <c r="AI7" s="692"/>
      <c r="AJ7" s="216" t="s">
        <v>1220</v>
      </c>
      <c r="AK7" s="215"/>
      <c r="AL7" s="215"/>
      <c r="AM7" s="223"/>
      <c r="AN7" s="222"/>
    </row>
    <row r="8" spans="1:40" ht="16.5" customHeight="1">
      <c r="B8" s="381" t="s">
        <v>1099</v>
      </c>
      <c r="C8" s="726" t="s">
        <v>51</v>
      </c>
      <c r="D8" s="726"/>
      <c r="E8" s="704" t="s">
        <v>53</v>
      </c>
      <c r="F8" s="704"/>
      <c r="G8" s="704"/>
      <c r="H8" s="704"/>
      <c r="I8" s="704"/>
      <c r="J8" s="705"/>
      <c r="L8" s="381" t="s">
        <v>1101</v>
      </c>
      <c r="M8" s="726" t="s">
        <v>51</v>
      </c>
      <c r="N8" s="726"/>
      <c r="O8" s="704" t="s">
        <v>54</v>
      </c>
      <c r="P8" s="704"/>
      <c r="Q8" s="704"/>
      <c r="R8" s="704"/>
      <c r="S8" s="704"/>
      <c r="T8" s="705"/>
      <c r="V8" s="224" t="s">
        <v>1027</v>
      </c>
      <c r="W8" s="225"/>
      <c r="X8" s="225"/>
      <c r="Y8" s="215"/>
      <c r="Z8" s="215"/>
      <c r="AA8" s="215"/>
      <c r="AB8" s="215"/>
      <c r="AC8" s="215"/>
      <c r="AD8" s="222"/>
      <c r="AF8" s="224" t="s">
        <v>1027</v>
      </c>
      <c r="AG8" s="225"/>
      <c r="AH8" s="225"/>
      <c r="AI8" s="215"/>
      <c r="AJ8" s="215"/>
      <c r="AK8" s="215"/>
      <c r="AL8" s="215"/>
      <c r="AM8" s="215"/>
      <c r="AN8" s="222"/>
    </row>
    <row r="9" spans="1:40" ht="16.5" customHeight="1">
      <c r="B9" s="703" t="s">
        <v>55</v>
      </c>
      <c r="C9" s="704"/>
      <c r="D9" s="704"/>
      <c r="E9" s="704"/>
      <c r="F9" s="704"/>
      <c r="G9" s="704"/>
      <c r="H9" s="704"/>
      <c r="I9" s="704"/>
      <c r="J9" s="705"/>
      <c r="L9" s="703" t="s">
        <v>55</v>
      </c>
      <c r="M9" s="704"/>
      <c r="N9" s="704"/>
      <c r="O9" s="704"/>
      <c r="P9" s="704"/>
      <c r="Q9" s="704"/>
      <c r="R9" s="704"/>
      <c r="S9" s="704"/>
      <c r="T9" s="705"/>
      <c r="V9" s="703"/>
      <c r="W9" s="704"/>
      <c r="X9" s="704"/>
      <c r="Y9" s="704"/>
      <c r="Z9" s="704"/>
      <c r="AA9" s="704"/>
      <c r="AB9" s="704"/>
      <c r="AC9" s="704"/>
      <c r="AD9" s="705"/>
      <c r="AF9" s="703"/>
      <c r="AG9" s="704"/>
      <c r="AH9" s="704"/>
      <c r="AI9" s="704"/>
      <c r="AJ9" s="704"/>
      <c r="AK9" s="704"/>
      <c r="AL9" s="704"/>
      <c r="AM9" s="704"/>
      <c r="AN9" s="705"/>
    </row>
    <row r="10" spans="1:40" ht="16">
      <c r="B10" s="226"/>
      <c r="C10" s="215"/>
      <c r="D10" s="215"/>
      <c r="E10" s="215"/>
      <c r="F10" s="215"/>
      <c r="G10" s="215"/>
      <c r="H10" s="215"/>
      <c r="I10" s="215"/>
      <c r="J10" s="222"/>
      <c r="L10" s="226"/>
      <c r="M10" s="215"/>
      <c r="N10" s="215"/>
      <c r="O10" s="215"/>
      <c r="P10" s="215"/>
      <c r="Q10" s="215"/>
      <c r="R10" s="215"/>
      <c r="S10" s="215"/>
      <c r="T10" s="222"/>
      <c r="V10" s="689" t="s">
        <v>56</v>
      </c>
      <c r="W10" s="690"/>
      <c r="X10" s="690"/>
      <c r="Y10" s="690"/>
      <c r="Z10" s="690"/>
      <c r="AA10" s="690"/>
      <c r="AB10" s="690"/>
      <c r="AC10" s="690"/>
      <c r="AD10" s="691"/>
      <c r="AF10" s="689" t="s">
        <v>56</v>
      </c>
      <c r="AG10" s="690"/>
      <c r="AH10" s="690"/>
      <c r="AI10" s="690"/>
      <c r="AJ10" s="690"/>
      <c r="AK10" s="690"/>
      <c r="AL10" s="690"/>
      <c r="AM10" s="690"/>
      <c r="AN10" s="691"/>
    </row>
    <row r="11" spans="1:40" ht="16.5" customHeight="1">
      <c r="A11" s="227"/>
      <c r="B11" s="689" t="s">
        <v>56</v>
      </c>
      <c r="C11" s="690"/>
      <c r="D11" s="690"/>
      <c r="E11" s="690"/>
      <c r="F11" s="690"/>
      <c r="G11" s="690"/>
      <c r="H11" s="690"/>
      <c r="I11" s="690"/>
      <c r="J11" s="691"/>
      <c r="K11" s="227"/>
      <c r="L11" s="689" t="s">
        <v>56</v>
      </c>
      <c r="M11" s="690"/>
      <c r="N11" s="690"/>
      <c r="O11" s="690"/>
      <c r="P11" s="690"/>
      <c r="Q11" s="690"/>
      <c r="R11" s="690"/>
      <c r="S11" s="690"/>
      <c r="T11" s="691"/>
      <c r="U11" s="227"/>
      <c r="V11" s="695" t="s">
        <v>57</v>
      </c>
      <c r="W11" s="696" t="s">
        <v>58</v>
      </c>
      <c r="X11" s="696"/>
      <c r="Y11" s="697" t="str">
        <f>W7</f>
        <v>AI연구원</v>
      </c>
      <c r="Z11" s="697"/>
      <c r="AA11" s="697"/>
      <c r="AB11" s="355" t="s">
        <v>59</v>
      </c>
      <c r="AC11" s="356" t="s">
        <v>1587</v>
      </c>
      <c r="AD11" s="221"/>
      <c r="AF11" s="695" t="s">
        <v>57</v>
      </c>
      <c r="AG11" s="696" t="s">
        <v>58</v>
      </c>
      <c r="AH11" s="696"/>
      <c r="AI11" s="697" t="str">
        <f>AG7</f>
        <v>○○○○○(기관명)</v>
      </c>
      <c r="AJ11" s="697"/>
      <c r="AK11" s="697"/>
      <c r="AL11" s="355" t="s">
        <v>59</v>
      </c>
      <c r="AM11" s="356" t="s">
        <v>947</v>
      </c>
      <c r="AN11" s="221"/>
    </row>
    <row r="12" spans="1:40" ht="16.5" customHeight="1">
      <c r="B12" s="695" t="s">
        <v>57</v>
      </c>
      <c r="C12" s="696" t="s">
        <v>58</v>
      </c>
      <c r="D12" s="696"/>
      <c r="E12" s="697" t="str">
        <f>C7</f>
        <v>○○○○○(기관명)</v>
      </c>
      <c r="F12" s="697"/>
      <c r="G12" s="697"/>
      <c r="H12" s="355" t="s">
        <v>59</v>
      </c>
      <c r="I12" s="356" t="s">
        <v>51</v>
      </c>
      <c r="J12" s="221"/>
      <c r="L12" s="695" t="s">
        <v>60</v>
      </c>
      <c r="M12" s="730" t="s">
        <v>58</v>
      </c>
      <c r="N12" s="731"/>
      <c r="O12" s="736" t="str">
        <f>M7</f>
        <v>○○○○○(기관명)</v>
      </c>
      <c r="P12" s="736"/>
      <c r="Q12" s="736"/>
      <c r="R12" s="228" t="s">
        <v>59</v>
      </c>
      <c r="S12" s="357" t="s">
        <v>51</v>
      </c>
      <c r="T12" s="221"/>
      <c r="V12" s="695"/>
      <c r="W12" s="696" t="s">
        <v>61</v>
      </c>
      <c r="X12" s="696"/>
      <c r="Y12" s="697" t="s">
        <v>1588</v>
      </c>
      <c r="Z12" s="697"/>
      <c r="AA12" s="697"/>
      <c r="AB12" s="697"/>
      <c r="AC12" s="697"/>
      <c r="AD12" s="221"/>
      <c r="AF12" s="695"/>
      <c r="AG12" s="696" t="s">
        <v>61</v>
      </c>
      <c r="AH12" s="696"/>
      <c r="AI12" s="697" t="s">
        <v>847</v>
      </c>
      <c r="AJ12" s="697"/>
      <c r="AK12" s="697"/>
      <c r="AL12" s="697"/>
      <c r="AM12" s="697"/>
      <c r="AN12" s="221"/>
    </row>
    <row r="13" spans="1:40" ht="16">
      <c r="B13" s="695"/>
      <c r="C13" s="696" t="s">
        <v>61</v>
      </c>
      <c r="D13" s="696"/>
      <c r="E13" s="697" t="s">
        <v>847</v>
      </c>
      <c r="F13" s="697"/>
      <c r="G13" s="697"/>
      <c r="H13" s="697"/>
      <c r="I13" s="697"/>
      <c r="J13" s="221"/>
      <c r="L13" s="695"/>
      <c r="M13" s="735" t="s">
        <v>61</v>
      </c>
      <c r="N13" s="730"/>
      <c r="O13" s="697" t="s">
        <v>847</v>
      </c>
      <c r="P13" s="697"/>
      <c r="Q13" s="697"/>
      <c r="R13" s="697"/>
      <c r="S13" s="697"/>
      <c r="T13" s="221"/>
      <c r="V13" s="695" t="s">
        <v>62</v>
      </c>
      <c r="W13" s="696" t="s">
        <v>63</v>
      </c>
      <c r="X13" s="696"/>
      <c r="Y13" s="697" t="s">
        <v>49</v>
      </c>
      <c r="Z13" s="697"/>
      <c r="AA13" s="697"/>
      <c r="AB13" s="355" t="s">
        <v>59</v>
      </c>
      <c r="AC13" s="356">
        <f>AC7</f>
        <v>0</v>
      </c>
      <c r="AD13" s="221"/>
      <c r="AF13" s="695" t="s">
        <v>62</v>
      </c>
      <c r="AG13" s="696" t="s">
        <v>63</v>
      </c>
      <c r="AH13" s="696"/>
      <c r="AI13" s="697" t="s">
        <v>49</v>
      </c>
      <c r="AJ13" s="697"/>
      <c r="AK13" s="697"/>
      <c r="AL13" s="355" t="s">
        <v>59</v>
      </c>
      <c r="AM13" s="356">
        <f>AM7</f>
        <v>0</v>
      </c>
      <c r="AN13" s="221"/>
    </row>
    <row r="14" spans="1:40" ht="16.5" customHeight="1">
      <c r="B14" s="695" t="s">
        <v>62</v>
      </c>
      <c r="C14" s="696" t="s">
        <v>63</v>
      </c>
      <c r="D14" s="696"/>
      <c r="E14" s="697" t="s">
        <v>49</v>
      </c>
      <c r="F14" s="697"/>
      <c r="G14" s="697"/>
      <c r="H14" s="355" t="s">
        <v>59</v>
      </c>
      <c r="I14" s="356" t="str">
        <f>I7</f>
        <v>○○○</v>
      </c>
      <c r="J14" s="221"/>
      <c r="L14" s="695" t="s">
        <v>872</v>
      </c>
      <c r="M14" s="730" t="s">
        <v>63</v>
      </c>
      <c r="N14" s="731"/>
      <c r="O14" s="732" t="s">
        <v>49</v>
      </c>
      <c r="P14" s="733"/>
      <c r="Q14" s="734"/>
      <c r="R14" s="228" t="s">
        <v>59</v>
      </c>
      <c r="S14" s="357" t="str">
        <f>S7</f>
        <v>○○○</v>
      </c>
      <c r="T14" s="221"/>
      <c r="V14" s="695"/>
      <c r="W14" s="696" t="s">
        <v>61</v>
      </c>
      <c r="X14" s="696"/>
      <c r="Y14" s="697" t="s">
        <v>193</v>
      </c>
      <c r="Z14" s="697"/>
      <c r="AA14" s="697"/>
      <c r="AB14" s="697"/>
      <c r="AC14" s="697"/>
      <c r="AD14" s="221"/>
      <c r="AF14" s="695"/>
      <c r="AG14" s="696" t="s">
        <v>61</v>
      </c>
      <c r="AH14" s="696"/>
      <c r="AI14" s="697" t="s">
        <v>193</v>
      </c>
      <c r="AJ14" s="697"/>
      <c r="AK14" s="697"/>
      <c r="AL14" s="697"/>
      <c r="AM14" s="697"/>
      <c r="AN14" s="221"/>
    </row>
    <row r="15" spans="1:40" ht="16">
      <c r="B15" s="695"/>
      <c r="C15" s="696" t="s">
        <v>61</v>
      </c>
      <c r="D15" s="696"/>
      <c r="E15" s="697" t="s">
        <v>849</v>
      </c>
      <c r="F15" s="697"/>
      <c r="G15" s="697"/>
      <c r="H15" s="697"/>
      <c r="I15" s="697"/>
      <c r="J15" s="221"/>
      <c r="L15" s="695"/>
      <c r="M15" s="735" t="s">
        <v>61</v>
      </c>
      <c r="N15" s="730"/>
      <c r="O15" s="697" t="s">
        <v>849</v>
      </c>
      <c r="P15" s="697"/>
      <c r="Q15" s="697"/>
      <c r="R15" s="697"/>
      <c r="S15" s="697"/>
      <c r="T15" s="221"/>
      <c r="V15" s="695" t="s">
        <v>1114</v>
      </c>
      <c r="W15" s="696" t="s">
        <v>63</v>
      </c>
      <c r="X15" s="696"/>
      <c r="Y15" s="697" t="str">
        <f>W7</f>
        <v>AI연구원</v>
      </c>
      <c r="Z15" s="697"/>
      <c r="AA15" s="697"/>
      <c r="AB15" s="355" t="s">
        <v>59</v>
      </c>
      <c r="AC15" s="356">
        <f>W8</f>
        <v>0</v>
      </c>
      <c r="AD15" s="221"/>
      <c r="AF15" s="695" t="s">
        <v>1114</v>
      </c>
      <c r="AG15" s="696" t="s">
        <v>63</v>
      </c>
      <c r="AH15" s="696"/>
      <c r="AI15" s="697" t="str">
        <f>AG7</f>
        <v>○○○○○(기관명)</v>
      </c>
      <c r="AJ15" s="697"/>
      <c r="AK15" s="697"/>
      <c r="AL15" s="355" t="s">
        <v>59</v>
      </c>
      <c r="AM15" s="356">
        <f>AG8</f>
        <v>0</v>
      </c>
      <c r="AN15" s="221"/>
    </row>
    <row r="16" spans="1:40" ht="16.5" customHeight="1">
      <c r="B16" s="729" t="s">
        <v>1129</v>
      </c>
      <c r="C16" s="696" t="s">
        <v>63</v>
      </c>
      <c r="D16" s="696"/>
      <c r="E16" s="697" t="str">
        <f>C7</f>
        <v>○○○○○(기관명)</v>
      </c>
      <c r="F16" s="697"/>
      <c r="G16" s="697"/>
      <c r="H16" s="355" t="s">
        <v>59</v>
      </c>
      <c r="I16" s="356" t="str">
        <f>C8</f>
        <v>○○○</v>
      </c>
      <c r="J16" s="221"/>
      <c r="L16" s="729" t="s">
        <v>1130</v>
      </c>
      <c r="M16" s="730" t="s">
        <v>63</v>
      </c>
      <c r="N16" s="731"/>
      <c r="O16" s="732" t="str">
        <f>O12</f>
        <v>○○○○○(기관명)</v>
      </c>
      <c r="P16" s="733"/>
      <c r="Q16" s="734"/>
      <c r="R16" s="228" t="s">
        <v>59</v>
      </c>
      <c r="S16" s="357" t="str">
        <f>M8</f>
        <v>○○○</v>
      </c>
      <c r="T16" s="221"/>
      <c r="V16" s="695"/>
      <c r="W16" s="696" t="s">
        <v>61</v>
      </c>
      <c r="X16" s="696"/>
      <c r="Y16" s="697" t="s">
        <v>850</v>
      </c>
      <c r="Z16" s="697"/>
      <c r="AA16" s="697"/>
      <c r="AB16" s="697"/>
      <c r="AC16" s="697"/>
      <c r="AD16" s="221"/>
      <c r="AF16" s="695"/>
      <c r="AG16" s="696" t="s">
        <v>61</v>
      </c>
      <c r="AH16" s="696"/>
      <c r="AI16" s="697" t="s">
        <v>850</v>
      </c>
      <c r="AJ16" s="697"/>
      <c r="AK16" s="697"/>
      <c r="AL16" s="697"/>
      <c r="AM16" s="697"/>
      <c r="AN16" s="221"/>
    </row>
    <row r="17" spans="2:40" ht="16">
      <c r="B17" s="729"/>
      <c r="C17" s="696" t="s">
        <v>61</v>
      </c>
      <c r="D17" s="696"/>
      <c r="E17" s="697" t="s">
        <v>850</v>
      </c>
      <c r="F17" s="697"/>
      <c r="G17" s="697"/>
      <c r="H17" s="697"/>
      <c r="I17" s="697"/>
      <c r="J17" s="221"/>
      <c r="L17" s="729"/>
      <c r="M17" s="730" t="s">
        <v>61</v>
      </c>
      <c r="N17" s="731"/>
      <c r="O17" s="697" t="s">
        <v>850</v>
      </c>
      <c r="P17" s="697"/>
      <c r="Q17" s="697"/>
      <c r="R17" s="697"/>
      <c r="S17" s="697"/>
      <c r="T17" s="221"/>
      <c r="V17" s="695"/>
      <c r="W17" s="696" t="s">
        <v>65</v>
      </c>
      <c r="X17" s="696"/>
      <c r="Y17" s="697" t="s">
        <v>851</v>
      </c>
      <c r="Z17" s="697"/>
      <c r="AA17" s="355" t="s">
        <v>66</v>
      </c>
      <c r="AB17" s="698">
        <v>0</v>
      </c>
      <c r="AC17" s="698"/>
      <c r="AD17" s="221"/>
      <c r="AF17" s="695"/>
      <c r="AG17" s="696" t="s">
        <v>65</v>
      </c>
      <c r="AH17" s="696"/>
      <c r="AI17" s="697" t="s">
        <v>851</v>
      </c>
      <c r="AJ17" s="697"/>
      <c r="AK17" s="355" t="s">
        <v>66</v>
      </c>
      <c r="AL17" s="698">
        <v>0</v>
      </c>
      <c r="AM17" s="698"/>
      <c r="AN17" s="221"/>
    </row>
    <row r="18" spans="2:40" ht="16">
      <c r="B18" s="729"/>
      <c r="C18" s="696" t="s">
        <v>65</v>
      </c>
      <c r="D18" s="696"/>
      <c r="E18" s="697" t="s">
        <v>851</v>
      </c>
      <c r="F18" s="697"/>
      <c r="G18" s="355" t="s">
        <v>66</v>
      </c>
      <c r="H18" s="698">
        <v>0</v>
      </c>
      <c r="I18" s="698"/>
      <c r="J18" s="221"/>
      <c r="L18" s="729"/>
      <c r="M18" s="730" t="s">
        <v>65</v>
      </c>
      <c r="N18" s="731"/>
      <c r="O18" s="697" t="s">
        <v>851</v>
      </c>
      <c r="P18" s="697"/>
      <c r="Q18" s="228" t="s">
        <v>66</v>
      </c>
      <c r="R18" s="698">
        <v>0</v>
      </c>
      <c r="S18" s="698"/>
      <c r="T18" s="221"/>
      <c r="V18" s="683" t="s">
        <v>941</v>
      </c>
      <c r="W18" s="684"/>
      <c r="X18" s="684"/>
      <c r="Y18" s="684"/>
      <c r="Z18" s="684"/>
      <c r="AA18" s="684"/>
      <c r="AB18" s="684"/>
      <c r="AC18" s="684"/>
      <c r="AD18" s="685"/>
      <c r="AF18" s="683" t="s">
        <v>941</v>
      </c>
      <c r="AG18" s="684"/>
      <c r="AH18" s="684"/>
      <c r="AI18" s="684"/>
      <c r="AJ18" s="684"/>
      <c r="AK18" s="684"/>
      <c r="AL18" s="684"/>
      <c r="AM18" s="684"/>
      <c r="AN18" s="685"/>
    </row>
    <row r="19" spans="2:40" ht="16.5" customHeight="1">
      <c r="B19" s="336" t="s">
        <v>64</v>
      </c>
      <c r="C19" s="684" t="s">
        <v>64</v>
      </c>
      <c r="D19" s="684"/>
      <c r="E19" s="684" t="s">
        <v>64</v>
      </c>
      <c r="F19" s="684"/>
      <c r="G19" s="684"/>
      <c r="H19" s="337" t="s">
        <v>64</v>
      </c>
      <c r="I19" s="337" t="s">
        <v>64</v>
      </c>
      <c r="J19" s="221"/>
      <c r="L19" s="229"/>
      <c r="M19" s="337"/>
      <c r="N19" s="337"/>
      <c r="O19" s="230"/>
      <c r="P19" s="230"/>
      <c r="Q19" s="231"/>
      <c r="R19" s="232"/>
      <c r="S19" s="232"/>
      <c r="T19" s="221"/>
      <c r="V19" s="336"/>
      <c r="W19" s="337"/>
      <c r="X19" s="337"/>
      <c r="Y19" s="337"/>
      <c r="Z19" s="337"/>
      <c r="AA19" s="337"/>
      <c r="AB19" s="337"/>
      <c r="AC19" s="337"/>
      <c r="AD19" s="338"/>
      <c r="AF19" s="336"/>
      <c r="AG19" s="337"/>
      <c r="AH19" s="337"/>
      <c r="AI19" s="337"/>
      <c r="AJ19" s="337"/>
      <c r="AK19" s="337"/>
      <c r="AL19" s="337"/>
      <c r="AM19" s="337"/>
      <c r="AN19" s="338"/>
    </row>
    <row r="20" spans="2:40" ht="16.5" customHeight="1">
      <c r="B20" s="689" t="s">
        <v>67</v>
      </c>
      <c r="C20" s="690"/>
      <c r="D20" s="690"/>
      <c r="E20" s="690"/>
      <c r="F20" s="690"/>
      <c r="G20" s="690"/>
      <c r="H20" s="690"/>
      <c r="I20" s="690"/>
      <c r="J20" s="691"/>
      <c r="L20" s="689" t="s">
        <v>68</v>
      </c>
      <c r="M20" s="690"/>
      <c r="N20" s="690"/>
      <c r="O20" s="690"/>
      <c r="P20" s="690"/>
      <c r="Q20" s="690"/>
      <c r="R20" s="690"/>
      <c r="S20" s="690"/>
      <c r="T20" s="691"/>
      <c r="V20" s="689" t="s">
        <v>67</v>
      </c>
      <c r="W20" s="690"/>
      <c r="X20" s="690"/>
      <c r="Y20" s="690"/>
      <c r="Z20" s="690"/>
      <c r="AA20" s="690"/>
      <c r="AB20" s="690"/>
      <c r="AC20" s="690"/>
      <c r="AD20" s="691"/>
      <c r="AF20" s="689" t="s">
        <v>67</v>
      </c>
      <c r="AG20" s="690"/>
      <c r="AH20" s="690"/>
      <c r="AI20" s="690"/>
      <c r="AJ20" s="690"/>
      <c r="AK20" s="690"/>
      <c r="AL20" s="690"/>
      <c r="AM20" s="690"/>
      <c r="AN20" s="691"/>
    </row>
    <row r="21" spans="2:40" ht="16.5" customHeight="1">
      <c r="B21" s="229" t="s">
        <v>69</v>
      </c>
      <c r="C21" s="692" t="s">
        <v>852</v>
      </c>
      <c r="D21" s="692"/>
      <c r="E21" s="233" t="s">
        <v>70</v>
      </c>
      <c r="F21" s="233" t="s">
        <v>71</v>
      </c>
      <c r="G21" s="692" t="str">
        <f>E12</f>
        <v>○○○○○(기관명)</v>
      </c>
      <c r="H21" s="692"/>
      <c r="I21" s="233" t="s">
        <v>72</v>
      </c>
      <c r="J21" s="234"/>
      <c r="L21" s="229" t="s">
        <v>69</v>
      </c>
      <c r="M21" s="692" t="s">
        <v>852</v>
      </c>
      <c r="N21" s="692"/>
      <c r="O21" s="233" t="s">
        <v>70</v>
      </c>
      <c r="P21" s="684" t="s">
        <v>73</v>
      </c>
      <c r="Q21" s="684"/>
      <c r="R21" s="684"/>
      <c r="S21" s="684"/>
      <c r="T21" s="685"/>
      <c r="V21" s="235" t="s">
        <v>1116</v>
      </c>
      <c r="W21" s="236"/>
      <c r="X21" s="236"/>
      <c r="Y21" s="237"/>
      <c r="Z21" s="233"/>
      <c r="AA21" s="692" t="str">
        <f>Y11</f>
        <v>AI연구원</v>
      </c>
      <c r="AB21" s="692"/>
      <c r="AC21" s="233" t="s">
        <v>72</v>
      </c>
      <c r="AD21" s="234"/>
      <c r="AF21" s="235" t="s">
        <v>1221</v>
      </c>
      <c r="AG21" s="236"/>
      <c r="AH21" s="236"/>
      <c r="AI21" s="237"/>
      <c r="AJ21" s="233"/>
      <c r="AK21" s="692" t="str">
        <f>AI11</f>
        <v>○○○○○(기관명)</v>
      </c>
      <c r="AL21" s="692"/>
      <c r="AM21" s="233" t="s">
        <v>72</v>
      </c>
      <c r="AN21" s="234"/>
    </row>
    <row r="22" spans="2:40" ht="16">
      <c r="B22" s="235" t="s">
        <v>74</v>
      </c>
      <c r="C22" s="337"/>
      <c r="D22" s="337"/>
      <c r="E22" s="337"/>
      <c r="F22" s="337"/>
      <c r="G22" s="337"/>
      <c r="H22" s="337"/>
      <c r="I22" s="337"/>
      <c r="J22" s="338"/>
      <c r="L22" s="229"/>
      <c r="M22" s="238"/>
      <c r="N22" s="238"/>
      <c r="O22" s="233"/>
      <c r="P22" s="337"/>
      <c r="Q22" s="337"/>
      <c r="R22" s="337"/>
      <c r="S22" s="337"/>
      <c r="T22" s="338"/>
      <c r="V22" s="235" t="s">
        <v>74</v>
      </c>
      <c r="W22" s="337"/>
      <c r="X22" s="337"/>
      <c r="Y22" s="337"/>
      <c r="Z22" s="337"/>
      <c r="AA22" s="337"/>
      <c r="AB22" s="337"/>
      <c r="AC22" s="337"/>
      <c r="AD22" s="338"/>
      <c r="AF22" s="235" t="s">
        <v>74</v>
      </c>
      <c r="AG22" s="337"/>
      <c r="AH22" s="337"/>
      <c r="AI22" s="337"/>
      <c r="AJ22" s="337"/>
      <c r="AK22" s="337"/>
      <c r="AL22" s="337"/>
      <c r="AM22" s="337"/>
      <c r="AN22" s="338"/>
    </row>
    <row r="23" spans="2:40" ht="16">
      <c r="B23" s="235"/>
      <c r="C23" s="337"/>
      <c r="D23" s="337"/>
      <c r="E23" s="337"/>
      <c r="F23" s="337"/>
      <c r="G23" s="337"/>
      <c r="H23" s="337"/>
      <c r="I23" s="337"/>
      <c r="J23" s="338"/>
      <c r="L23" s="666" t="s">
        <v>75</v>
      </c>
      <c r="M23" s="727"/>
      <c r="N23" s="728" t="s">
        <v>857</v>
      </c>
      <c r="O23" s="721"/>
      <c r="P23" s="722" t="s">
        <v>76</v>
      </c>
      <c r="Q23" s="723"/>
      <c r="R23" s="720" t="s">
        <v>858</v>
      </c>
      <c r="S23" s="721"/>
      <c r="T23" s="338"/>
      <c r="V23" s="235"/>
      <c r="W23" s="337"/>
      <c r="X23" s="337"/>
      <c r="Y23" s="337"/>
      <c r="Z23" s="337"/>
      <c r="AA23" s="337"/>
      <c r="AB23" s="337"/>
      <c r="AC23" s="337"/>
      <c r="AD23" s="338"/>
      <c r="AF23" s="235"/>
      <c r="AG23" s="337"/>
      <c r="AH23" s="337"/>
      <c r="AI23" s="337"/>
      <c r="AJ23" s="337"/>
      <c r="AK23" s="337"/>
      <c r="AL23" s="337"/>
      <c r="AM23" s="337"/>
      <c r="AN23" s="338"/>
    </row>
    <row r="24" spans="2:40" ht="16">
      <c r="B24" s="680" t="s">
        <v>77</v>
      </c>
      <c r="C24" s="681"/>
      <c r="D24" s="681"/>
      <c r="E24" s="681"/>
      <c r="F24" s="681"/>
      <c r="G24" s="681"/>
      <c r="H24" s="681"/>
      <c r="I24" s="681"/>
      <c r="J24" s="682"/>
      <c r="L24" s="666" t="s">
        <v>78</v>
      </c>
      <c r="M24" s="668"/>
      <c r="N24" s="720" t="str">
        <f>S14</f>
        <v>○○○</v>
      </c>
      <c r="O24" s="721"/>
      <c r="P24" s="722" t="s">
        <v>79</v>
      </c>
      <c r="Q24" s="723"/>
      <c r="R24" s="720" t="s">
        <v>859</v>
      </c>
      <c r="S24" s="721"/>
      <c r="T24" s="338"/>
      <c r="V24" s="680" t="s">
        <v>77</v>
      </c>
      <c r="W24" s="681"/>
      <c r="X24" s="681"/>
      <c r="Y24" s="681"/>
      <c r="Z24" s="681"/>
      <c r="AA24" s="681"/>
      <c r="AB24" s="681"/>
      <c r="AC24" s="681"/>
      <c r="AD24" s="682"/>
      <c r="AF24" s="680" t="s">
        <v>1549</v>
      </c>
      <c r="AG24" s="681"/>
      <c r="AH24" s="681"/>
      <c r="AI24" s="681"/>
      <c r="AJ24" s="681"/>
      <c r="AK24" s="681"/>
      <c r="AL24" s="681"/>
      <c r="AM24" s="681"/>
      <c r="AN24" s="682"/>
    </row>
    <row r="25" spans="2:40" ht="16.5" customHeight="1">
      <c r="B25" s="239" t="s">
        <v>80</v>
      </c>
      <c r="C25" s="240"/>
      <c r="D25" s="719" t="s">
        <v>854</v>
      </c>
      <c r="E25" s="719"/>
      <c r="F25" s="240" t="s">
        <v>848</v>
      </c>
      <c r="G25" s="719" t="s">
        <v>854</v>
      </c>
      <c r="H25" s="719"/>
      <c r="I25" s="240" t="s">
        <v>82</v>
      </c>
      <c r="J25" s="241"/>
      <c r="L25" s="724" t="s">
        <v>83</v>
      </c>
      <c r="M25" s="725"/>
      <c r="N25" s="720" t="s">
        <v>856</v>
      </c>
      <c r="O25" s="726"/>
      <c r="P25" s="726"/>
      <c r="Q25" s="726"/>
      <c r="R25" s="726"/>
      <c r="S25" s="721"/>
      <c r="T25" s="338"/>
      <c r="V25" s="235" t="s">
        <v>962</v>
      </c>
      <c r="W25" s="242"/>
      <c r="X25" s="242"/>
      <c r="Y25" s="242"/>
      <c r="Z25" s="242"/>
      <c r="AA25" s="242"/>
      <c r="AB25" s="242"/>
      <c r="AC25" s="242"/>
      <c r="AD25" s="335"/>
      <c r="AF25" s="235" t="s">
        <v>962</v>
      </c>
      <c r="AG25" s="242"/>
      <c r="AH25" s="242"/>
      <c r="AI25" s="242"/>
      <c r="AJ25" s="242"/>
      <c r="AK25" s="242"/>
      <c r="AL25" s="242"/>
      <c r="AM25" s="242"/>
      <c r="AN25" s="335"/>
    </row>
    <row r="26" spans="2:40" ht="16">
      <c r="B26" s="683" t="s">
        <v>943</v>
      </c>
      <c r="C26" s="684"/>
      <c r="D26" s="684"/>
      <c r="E26" s="684"/>
      <c r="F26" s="684"/>
      <c r="G26" s="684"/>
      <c r="H26" s="684"/>
      <c r="I26" s="684"/>
      <c r="J26" s="685"/>
      <c r="L26" s="347"/>
      <c r="M26" s="348"/>
      <c r="N26" s="223"/>
      <c r="O26" s="223"/>
      <c r="P26" s="223"/>
      <c r="Q26" s="223"/>
      <c r="R26" s="223"/>
      <c r="S26" s="223"/>
      <c r="T26" s="338"/>
      <c r="V26" s="239" t="s">
        <v>945</v>
      </c>
      <c r="W26" s="240"/>
      <c r="Y26" s="353" t="s">
        <v>854</v>
      </c>
      <c r="Z26" s="240" t="s">
        <v>81</v>
      </c>
      <c r="AA26" s="353" t="s">
        <v>854</v>
      </c>
      <c r="AB26" s="240" t="s">
        <v>82</v>
      </c>
      <c r="AD26" s="241"/>
      <c r="AF26" s="239" t="s">
        <v>945</v>
      </c>
      <c r="AG26" s="240"/>
      <c r="AH26" s="214"/>
      <c r="AI26" s="353" t="s">
        <v>854</v>
      </c>
      <c r="AJ26" s="240" t="s">
        <v>81</v>
      </c>
      <c r="AK26" s="353" t="s">
        <v>854</v>
      </c>
      <c r="AL26" s="240" t="s">
        <v>82</v>
      </c>
      <c r="AM26" s="214"/>
      <c r="AN26" s="241"/>
    </row>
    <row r="27" spans="2:40" ht="16">
      <c r="B27" s="693" t="s">
        <v>84</v>
      </c>
      <c r="C27" s="694"/>
      <c r="D27" s="243" t="s">
        <v>853</v>
      </c>
      <c r="E27" s="240" t="s">
        <v>81</v>
      </c>
      <c r="F27" s="244" t="s">
        <v>853</v>
      </c>
      <c r="G27" s="240" t="s">
        <v>85</v>
      </c>
      <c r="H27" s="240"/>
      <c r="I27" s="240"/>
      <c r="J27" s="241"/>
      <c r="L27" s="680" t="s">
        <v>77</v>
      </c>
      <c r="M27" s="681"/>
      <c r="N27" s="681"/>
      <c r="O27" s="681"/>
      <c r="P27" s="681"/>
      <c r="Q27" s="681"/>
      <c r="R27" s="681"/>
      <c r="S27" s="681"/>
      <c r="T27" s="682"/>
      <c r="V27" s="683" t="s">
        <v>942</v>
      </c>
      <c r="W27" s="684"/>
      <c r="X27" s="684"/>
      <c r="Y27" s="684"/>
      <c r="Z27" s="684"/>
      <c r="AA27" s="684"/>
      <c r="AB27" s="684"/>
      <c r="AC27" s="684"/>
      <c r="AD27" s="685"/>
      <c r="AF27" s="683" t="s">
        <v>942</v>
      </c>
      <c r="AG27" s="684"/>
      <c r="AH27" s="684"/>
      <c r="AI27" s="684"/>
      <c r="AJ27" s="684"/>
      <c r="AK27" s="684"/>
      <c r="AL27" s="684"/>
      <c r="AM27" s="684"/>
      <c r="AN27" s="685"/>
    </row>
    <row r="28" spans="2:40" ht="16">
      <c r="B28" s="693" t="s">
        <v>86</v>
      </c>
      <c r="C28" s="694"/>
      <c r="D28" s="245" t="s">
        <v>855</v>
      </c>
      <c r="E28" s="240" t="s">
        <v>887</v>
      </c>
      <c r="F28" s="246" t="s">
        <v>888</v>
      </c>
      <c r="G28" s="245" t="s">
        <v>1584</v>
      </c>
      <c r="H28" s="240" t="s">
        <v>87</v>
      </c>
      <c r="I28" s="240"/>
      <c r="J28" s="241"/>
      <c r="L28" s="239" t="s">
        <v>80</v>
      </c>
      <c r="M28" s="240"/>
      <c r="N28" s="719" t="s">
        <v>854</v>
      </c>
      <c r="O28" s="719"/>
      <c r="P28" s="240" t="s">
        <v>81</v>
      </c>
      <c r="Q28" s="719" t="s">
        <v>854</v>
      </c>
      <c r="R28" s="719"/>
      <c r="S28" s="240" t="s">
        <v>82</v>
      </c>
      <c r="T28" s="241"/>
      <c r="V28" s="235" t="s">
        <v>1018</v>
      </c>
      <c r="W28" s="337"/>
      <c r="X28" s="337"/>
      <c r="Y28" s="337"/>
      <c r="Z28" s="337"/>
      <c r="AA28" s="337"/>
      <c r="AB28" s="337"/>
      <c r="AC28" s="337"/>
      <c r="AD28" s="338"/>
      <c r="AF28" s="235" t="s">
        <v>1223</v>
      </c>
      <c r="AG28" s="337"/>
      <c r="AH28" s="337"/>
      <c r="AI28" s="337"/>
      <c r="AJ28" s="337"/>
      <c r="AK28" s="337"/>
      <c r="AL28" s="337"/>
      <c r="AM28" s="337"/>
      <c r="AN28" s="338"/>
    </row>
    <row r="29" spans="2:40" ht="16.5" customHeight="1">
      <c r="B29" s="662" t="s">
        <v>89</v>
      </c>
      <c r="C29" s="663"/>
      <c r="D29" s="233" t="s">
        <v>90</v>
      </c>
      <c r="E29" s="247">
        <v>1234567</v>
      </c>
      <c r="F29" s="233" t="s">
        <v>91</v>
      </c>
      <c r="G29" s="718" t="s">
        <v>1585</v>
      </c>
      <c r="H29" s="718"/>
      <c r="I29" s="233"/>
      <c r="J29" s="234"/>
      <c r="L29" s="239"/>
      <c r="M29" s="240"/>
      <c r="N29" s="368"/>
      <c r="O29" s="368"/>
      <c r="P29" s="240"/>
      <c r="Q29" s="368"/>
      <c r="R29" s="368"/>
      <c r="S29" s="240"/>
      <c r="T29" s="241"/>
      <c r="V29" s="235" t="s">
        <v>1019</v>
      </c>
      <c r="W29" s="337"/>
      <c r="X29" s="337"/>
      <c r="Y29" s="337"/>
      <c r="Z29" s="337"/>
      <c r="AA29" s="337"/>
      <c r="AB29" s="337"/>
      <c r="AC29" s="337"/>
      <c r="AD29" s="338"/>
      <c r="AF29" s="235" t="s">
        <v>1019</v>
      </c>
      <c r="AG29" s="337"/>
      <c r="AH29" s="337"/>
      <c r="AI29" s="337"/>
      <c r="AJ29" s="337"/>
      <c r="AK29" s="337"/>
      <c r="AL29" s="337"/>
      <c r="AM29" s="337"/>
      <c r="AN29" s="338"/>
    </row>
    <row r="30" spans="2:40" ht="16">
      <c r="B30" s="683" t="s">
        <v>94</v>
      </c>
      <c r="C30" s="661"/>
      <c r="D30" s="661"/>
      <c r="E30" s="661"/>
      <c r="F30" s="661"/>
      <c r="G30" s="661"/>
      <c r="H30" s="661"/>
      <c r="I30" s="661"/>
      <c r="J30" s="665"/>
      <c r="L30" s="680" t="s">
        <v>88</v>
      </c>
      <c r="M30" s="681"/>
      <c r="N30" s="681"/>
      <c r="O30" s="681"/>
      <c r="P30" s="681"/>
      <c r="Q30" s="681"/>
      <c r="R30" s="681"/>
      <c r="S30" s="681"/>
      <c r="T30" s="682"/>
      <c r="V30" s="235" t="s">
        <v>1017</v>
      </c>
      <c r="W30" s="337"/>
      <c r="X30" s="337"/>
      <c r="Y30" s="337"/>
      <c r="Z30" s="337"/>
      <c r="AA30" s="337"/>
      <c r="AB30" s="337"/>
      <c r="AC30" s="337"/>
      <c r="AD30" s="338"/>
      <c r="AF30" s="235" t="s">
        <v>1222</v>
      </c>
      <c r="AG30" s="337"/>
      <c r="AH30" s="337"/>
      <c r="AI30" s="337"/>
      <c r="AJ30" s="337"/>
      <c r="AK30" s="337"/>
      <c r="AL30" s="337"/>
      <c r="AM30" s="337"/>
      <c r="AN30" s="338"/>
    </row>
    <row r="31" spans="2:40" ht="16">
      <c r="B31" s="664" t="s">
        <v>96</v>
      </c>
      <c r="C31" s="661"/>
      <c r="D31" s="661"/>
      <c r="E31" s="661"/>
      <c r="F31" s="661"/>
      <c r="G31" s="661"/>
      <c r="H31" s="661"/>
      <c r="I31" s="661"/>
      <c r="J31" s="665"/>
      <c r="L31" s="239" t="s">
        <v>92</v>
      </c>
      <c r="M31" s="240"/>
      <c r="N31" s="240"/>
      <c r="O31" s="240"/>
      <c r="P31" s="247">
        <v>1234567</v>
      </c>
      <c r="Q31" s="240" t="s">
        <v>93</v>
      </c>
      <c r="R31" s="240"/>
      <c r="S31" s="240"/>
      <c r="T31" s="241"/>
      <c r="V31" s="235" t="s">
        <v>1028</v>
      </c>
      <c r="W31" s="337"/>
      <c r="X31" s="337"/>
      <c r="Y31" s="337"/>
      <c r="Z31" s="337"/>
      <c r="AA31" s="337"/>
      <c r="AB31" s="337"/>
      <c r="AC31" s="337"/>
      <c r="AD31" s="338"/>
      <c r="AF31" s="235" t="s">
        <v>1224</v>
      </c>
      <c r="AG31" s="337"/>
      <c r="AH31" s="337"/>
      <c r="AI31" s="337"/>
      <c r="AJ31" s="337"/>
      <c r="AK31" s="337"/>
      <c r="AL31" s="337"/>
      <c r="AM31" s="337"/>
      <c r="AN31" s="338"/>
    </row>
    <row r="32" spans="2:40" ht="16">
      <c r="B32" s="664" t="s">
        <v>97</v>
      </c>
      <c r="C32" s="661"/>
      <c r="D32" s="661"/>
      <c r="E32" s="661"/>
      <c r="F32" s="661"/>
      <c r="G32" s="661"/>
      <c r="H32" s="661"/>
      <c r="I32" s="661"/>
      <c r="J32" s="665"/>
      <c r="L32" s="664" t="s">
        <v>95</v>
      </c>
      <c r="M32" s="661"/>
      <c r="N32" s="661"/>
      <c r="O32" s="661"/>
      <c r="P32" s="661"/>
      <c r="Q32" s="661"/>
      <c r="R32" s="661"/>
      <c r="S32" s="661"/>
      <c r="T32" s="665"/>
      <c r="V32" s="235" t="s">
        <v>964</v>
      </c>
      <c r="W32" s="337"/>
      <c r="X32" s="337"/>
      <c r="Y32" s="337"/>
      <c r="Z32" s="337"/>
      <c r="AA32" s="337"/>
      <c r="AB32" s="337"/>
      <c r="AC32" s="337"/>
      <c r="AD32" s="338"/>
      <c r="AF32" s="235" t="s">
        <v>1225</v>
      </c>
      <c r="AG32" s="337"/>
      <c r="AH32" s="337"/>
      <c r="AI32" s="337"/>
      <c r="AJ32" s="337"/>
      <c r="AK32" s="337"/>
      <c r="AL32" s="337"/>
      <c r="AM32" s="337"/>
      <c r="AN32" s="338"/>
    </row>
    <row r="33" spans="2:40" ht="16">
      <c r="B33" s="235"/>
      <c r="C33" s="237"/>
      <c r="D33" s="237"/>
      <c r="E33" s="237"/>
      <c r="F33" s="237"/>
      <c r="G33" s="237"/>
      <c r="H33" s="237"/>
      <c r="I33" s="237"/>
      <c r="J33" s="333"/>
      <c r="L33" s="676" t="s">
        <v>1131</v>
      </c>
      <c r="M33" s="677"/>
      <c r="N33" s="677"/>
      <c r="O33" s="677"/>
      <c r="P33" s="677"/>
      <c r="Q33" s="677"/>
      <c r="R33" s="677"/>
      <c r="S33" s="677"/>
      <c r="T33" s="678"/>
      <c r="V33" s="693" t="s">
        <v>944</v>
      </c>
      <c r="W33" s="694"/>
      <c r="X33" s="661" t="s">
        <v>958</v>
      </c>
      <c r="Y33" s="661"/>
      <c r="Z33" s="661"/>
      <c r="AA33" s="240" t="s">
        <v>959</v>
      </c>
      <c r="AB33" s="240"/>
      <c r="AC33" s="240"/>
      <c r="AD33" s="221"/>
      <c r="AF33" s="235" t="s">
        <v>1226</v>
      </c>
      <c r="AG33" s="337"/>
      <c r="AH33" s="337"/>
      <c r="AI33" s="337"/>
      <c r="AJ33" s="337"/>
      <c r="AK33" s="337"/>
      <c r="AL33" s="337"/>
      <c r="AM33" s="337"/>
      <c r="AN33" s="338"/>
    </row>
    <row r="34" spans="2:40" ht="16">
      <c r="B34" s="680" t="s">
        <v>88</v>
      </c>
      <c r="C34" s="681"/>
      <c r="D34" s="681"/>
      <c r="E34" s="681"/>
      <c r="F34" s="681"/>
      <c r="G34" s="681"/>
      <c r="H34" s="681"/>
      <c r="I34" s="681"/>
      <c r="J34" s="682"/>
      <c r="L34" s="664" t="s">
        <v>98</v>
      </c>
      <c r="M34" s="661"/>
      <c r="N34" s="661"/>
      <c r="O34" s="661"/>
      <c r="P34" s="661"/>
      <c r="Q34" s="661"/>
      <c r="R34" s="661"/>
      <c r="S34" s="661"/>
      <c r="T34" s="665"/>
      <c r="V34" s="693" t="s">
        <v>946</v>
      </c>
      <c r="W34" s="694"/>
      <c r="X34" s="245" t="s">
        <v>949</v>
      </c>
      <c r="Y34" s="240" t="s">
        <v>887</v>
      </c>
      <c r="Z34" s="246" t="s">
        <v>888</v>
      </c>
      <c r="AA34" s="245" t="s">
        <v>1584</v>
      </c>
      <c r="AB34" s="240" t="s">
        <v>87</v>
      </c>
      <c r="AC34" s="240"/>
      <c r="AD34" s="241"/>
      <c r="AF34" s="693" t="s">
        <v>944</v>
      </c>
      <c r="AG34" s="694"/>
      <c r="AH34" s="661" t="s">
        <v>958</v>
      </c>
      <c r="AI34" s="661"/>
      <c r="AJ34" s="661"/>
      <c r="AK34" s="240" t="s">
        <v>959</v>
      </c>
      <c r="AL34" s="240"/>
      <c r="AM34" s="240"/>
      <c r="AN34" s="221"/>
    </row>
    <row r="35" spans="2:40" ht="16">
      <c r="B35" s="676" t="s">
        <v>100</v>
      </c>
      <c r="C35" s="677"/>
      <c r="D35" s="677"/>
      <c r="E35" s="677"/>
      <c r="F35" s="677"/>
      <c r="G35" s="677"/>
      <c r="H35" s="677"/>
      <c r="I35" s="677"/>
      <c r="J35" s="678"/>
      <c r="L35" s="235"/>
      <c r="M35" s="237"/>
      <c r="N35" s="237"/>
      <c r="O35" s="237"/>
      <c r="P35" s="237"/>
      <c r="Q35" s="237"/>
      <c r="R35" s="237"/>
      <c r="S35" s="237"/>
      <c r="T35" s="333"/>
      <c r="V35" s="662" t="s">
        <v>950</v>
      </c>
      <c r="W35" s="663"/>
      <c r="X35" s="233" t="s">
        <v>951</v>
      </c>
      <c r="Y35" s="247">
        <v>1234567</v>
      </c>
      <c r="Z35" s="233" t="s">
        <v>91</v>
      </c>
      <c r="AA35" s="718" t="s">
        <v>1589</v>
      </c>
      <c r="AB35" s="718"/>
      <c r="AC35" s="233"/>
      <c r="AD35" s="234"/>
      <c r="AF35" s="693" t="s">
        <v>946</v>
      </c>
      <c r="AG35" s="694"/>
      <c r="AH35" s="245" t="s">
        <v>948</v>
      </c>
      <c r="AI35" s="240" t="s">
        <v>887</v>
      </c>
      <c r="AJ35" s="246"/>
      <c r="AK35" s="554" t="s">
        <v>1544</v>
      </c>
      <c r="AL35" s="240"/>
      <c r="AM35" s="240"/>
      <c r="AN35" s="241"/>
    </row>
    <row r="36" spans="2:40" ht="16">
      <c r="B36" s="256" t="s">
        <v>1112</v>
      </c>
      <c r="C36" s="236"/>
      <c r="D36" s="236"/>
      <c r="E36" s="236"/>
      <c r="F36" s="236"/>
      <c r="G36" s="236"/>
      <c r="H36" s="236"/>
      <c r="I36" s="236"/>
      <c r="J36" s="257"/>
      <c r="L36" s="680" t="s">
        <v>99</v>
      </c>
      <c r="M36" s="681"/>
      <c r="N36" s="681"/>
      <c r="O36" s="681"/>
      <c r="P36" s="681"/>
      <c r="Q36" s="681"/>
      <c r="R36" s="681"/>
      <c r="S36" s="681"/>
      <c r="T36" s="682"/>
      <c r="V36" s="350" t="s">
        <v>1031</v>
      </c>
      <c r="W36" s="351"/>
      <c r="X36" s="248"/>
      <c r="Y36" s="278"/>
      <c r="Z36" s="248"/>
      <c r="AA36" s="247">
        <v>1234567</v>
      </c>
      <c r="AB36" s="233" t="s">
        <v>91</v>
      </c>
      <c r="AC36" s="233"/>
      <c r="AD36" s="234"/>
      <c r="AF36" s="662" t="s">
        <v>950</v>
      </c>
      <c r="AG36" s="663"/>
      <c r="AH36" s="233" t="s">
        <v>951</v>
      </c>
      <c r="AI36" s="247">
        <v>1234567</v>
      </c>
      <c r="AJ36" s="233" t="s">
        <v>91</v>
      </c>
      <c r="AK36" s="233"/>
      <c r="AL36" s="233"/>
      <c r="AM36" s="233"/>
      <c r="AN36" s="234"/>
    </row>
    <row r="37" spans="2:40" ht="16">
      <c r="B37" s="256" t="s">
        <v>1111</v>
      </c>
      <c r="C37" s="236"/>
      <c r="D37" s="236"/>
      <c r="E37" s="236"/>
      <c r="F37" s="236"/>
      <c r="G37" s="236"/>
      <c r="H37" s="236"/>
      <c r="I37" s="236"/>
      <c r="J37" s="257"/>
      <c r="L37" s="664" t="s">
        <v>101</v>
      </c>
      <c r="M37" s="661"/>
      <c r="N37" s="661"/>
      <c r="O37" s="661"/>
      <c r="P37" s="661"/>
      <c r="Q37" s="661"/>
      <c r="R37" s="661"/>
      <c r="S37" s="661"/>
      <c r="T37" s="665"/>
      <c r="V37" s="350" t="s">
        <v>1030</v>
      </c>
      <c r="Y37" s="352"/>
      <c r="Z37" s="249"/>
      <c r="AA37" s="247">
        <v>1234567</v>
      </c>
      <c r="AB37" s="214" t="s">
        <v>1029</v>
      </c>
      <c r="AC37" s="233"/>
      <c r="AD37" s="221"/>
      <c r="AF37" s="350" t="s">
        <v>1031</v>
      </c>
      <c r="AG37" s="351"/>
      <c r="AH37" s="248"/>
      <c r="AI37" s="278"/>
      <c r="AJ37" s="248"/>
      <c r="AK37" s="247">
        <v>1234567</v>
      </c>
      <c r="AL37" s="233" t="s">
        <v>91</v>
      </c>
      <c r="AM37" s="233"/>
      <c r="AN37" s="234"/>
    </row>
    <row r="38" spans="2:40" ht="16">
      <c r="B38" s="676" t="s">
        <v>891</v>
      </c>
      <c r="C38" s="677"/>
      <c r="D38" s="677"/>
      <c r="E38" s="677"/>
      <c r="F38" s="677"/>
      <c r="G38" s="677"/>
      <c r="H38" s="677"/>
      <c r="I38" s="677"/>
      <c r="J38" s="678"/>
      <c r="L38" s="664" t="s">
        <v>102</v>
      </c>
      <c r="M38" s="661"/>
      <c r="N38" s="661"/>
      <c r="O38" s="661"/>
      <c r="P38" s="661"/>
      <c r="Q38" s="661"/>
      <c r="R38" s="661"/>
      <c r="S38" s="661"/>
      <c r="T38" s="665"/>
      <c r="V38" s="683" t="s">
        <v>952</v>
      </c>
      <c r="W38" s="661"/>
      <c r="X38" s="661"/>
      <c r="Y38" s="661"/>
      <c r="Z38" s="661"/>
      <c r="AA38" s="661"/>
      <c r="AB38" s="661"/>
      <c r="AC38" s="661"/>
      <c r="AD38" s="665"/>
      <c r="AF38" s="350" t="s">
        <v>1030</v>
      </c>
      <c r="AG38" s="214"/>
      <c r="AH38" s="214"/>
      <c r="AI38" s="352"/>
      <c r="AJ38" s="249"/>
      <c r="AK38" s="247">
        <v>1234567</v>
      </c>
      <c r="AL38" s="214" t="s">
        <v>91</v>
      </c>
      <c r="AM38" s="233"/>
      <c r="AN38" s="221"/>
    </row>
    <row r="39" spans="2:40" ht="16">
      <c r="B39" s="676" t="s">
        <v>103</v>
      </c>
      <c r="C39" s="677"/>
      <c r="D39" s="677"/>
      <c r="E39" s="677"/>
      <c r="F39" s="677"/>
      <c r="G39" s="677"/>
      <c r="H39" s="677"/>
      <c r="I39" s="677"/>
      <c r="J39" s="678"/>
      <c r="L39" s="664" t="s">
        <v>104</v>
      </c>
      <c r="M39" s="661"/>
      <c r="N39" s="661"/>
      <c r="O39" s="661"/>
      <c r="P39" s="661"/>
      <c r="Q39" s="661"/>
      <c r="R39" s="661"/>
      <c r="S39" s="661"/>
      <c r="T39" s="665"/>
      <c r="V39" s="664" t="s">
        <v>953</v>
      </c>
      <c r="W39" s="661"/>
      <c r="X39" s="661"/>
      <c r="Y39" s="661"/>
      <c r="Z39" s="661"/>
      <c r="AA39" s="661"/>
      <c r="AB39" s="661"/>
      <c r="AC39" s="661"/>
      <c r="AD39" s="665"/>
      <c r="AF39" s="683" t="s">
        <v>952</v>
      </c>
      <c r="AG39" s="661"/>
      <c r="AH39" s="661"/>
      <c r="AI39" s="661"/>
      <c r="AJ39" s="661"/>
      <c r="AK39" s="661"/>
      <c r="AL39" s="661"/>
      <c r="AM39" s="661"/>
      <c r="AN39" s="665"/>
    </row>
    <row r="40" spans="2:40" ht="16">
      <c r="B40" s="676" t="s">
        <v>1132</v>
      </c>
      <c r="C40" s="677"/>
      <c r="D40" s="677"/>
      <c r="E40" s="677"/>
      <c r="F40" s="677"/>
      <c r="G40" s="677"/>
      <c r="H40" s="677"/>
      <c r="I40" s="677"/>
      <c r="J40" s="678"/>
      <c r="L40" s="235"/>
      <c r="M40" s="237"/>
      <c r="N40" s="237"/>
      <c r="O40" s="237"/>
      <c r="P40" s="237"/>
      <c r="Q40" s="237"/>
      <c r="R40" s="237"/>
      <c r="S40" s="237"/>
      <c r="T40" s="333"/>
      <c r="V40" s="239" t="s">
        <v>954</v>
      </c>
      <c r="W40" s="240"/>
      <c r="X40" s="579">
        <v>25</v>
      </c>
      <c r="Y40" s="240" t="s">
        <v>955</v>
      </c>
      <c r="Z40" s="240"/>
      <c r="AA40" s="240"/>
      <c r="AB40" s="240"/>
      <c r="AC40" s="240"/>
      <c r="AD40" s="241"/>
      <c r="AF40" s="664" t="s">
        <v>953</v>
      </c>
      <c r="AG40" s="661"/>
      <c r="AH40" s="661"/>
      <c r="AI40" s="661"/>
      <c r="AJ40" s="661"/>
      <c r="AK40" s="661"/>
      <c r="AL40" s="661"/>
      <c r="AM40" s="661"/>
      <c r="AN40" s="665"/>
    </row>
    <row r="41" spans="2:40" ht="16">
      <c r="B41" s="256"/>
      <c r="C41" s="236"/>
      <c r="D41" s="236"/>
      <c r="E41" s="236"/>
      <c r="F41" s="236"/>
      <c r="G41" s="236"/>
      <c r="H41" s="236"/>
      <c r="I41" s="236"/>
      <c r="J41" s="257"/>
      <c r="L41" s="334" t="s">
        <v>1020</v>
      </c>
      <c r="M41" s="237"/>
      <c r="N41" s="237"/>
      <c r="O41" s="237"/>
      <c r="P41" s="237"/>
      <c r="Q41" s="237"/>
      <c r="R41" s="237"/>
      <c r="S41" s="237"/>
      <c r="T41" s="333"/>
      <c r="V41" s="239" t="s">
        <v>956</v>
      </c>
      <c r="W41" s="240"/>
      <c r="X41" s="240"/>
      <c r="Y41" s="240"/>
      <c r="Z41" s="240"/>
      <c r="AA41" s="240"/>
      <c r="AB41" s="240"/>
      <c r="AC41" s="240"/>
      <c r="AD41" s="241"/>
      <c r="AF41" s="239" t="s">
        <v>954</v>
      </c>
      <c r="AG41" s="240"/>
      <c r="AH41" s="250"/>
      <c r="AI41" s="240" t="s">
        <v>955</v>
      </c>
      <c r="AJ41" s="240"/>
      <c r="AK41" s="240"/>
      <c r="AL41" s="240"/>
      <c r="AM41" s="240"/>
      <c r="AN41" s="241"/>
    </row>
    <row r="42" spans="2:40" ht="16">
      <c r="B42" s="651" t="s">
        <v>99</v>
      </c>
      <c r="C42" s="652"/>
      <c r="D42" s="652"/>
      <c r="E42" s="652"/>
      <c r="F42" s="652"/>
      <c r="G42" s="652"/>
      <c r="H42" s="652"/>
      <c r="I42" s="652"/>
      <c r="J42" s="653"/>
      <c r="L42" s="235" t="s">
        <v>105</v>
      </c>
      <c r="M42" s="237"/>
      <c r="N42" s="237"/>
      <c r="O42" s="237"/>
      <c r="P42" s="237"/>
      <c r="Q42" s="237"/>
      <c r="R42" s="237"/>
      <c r="S42" s="237"/>
      <c r="T42" s="333"/>
      <c r="V42" s="239" t="s">
        <v>957</v>
      </c>
      <c r="W42" s="240"/>
      <c r="X42" s="240"/>
      <c r="Y42" s="240"/>
      <c r="Z42" s="240"/>
      <c r="AA42" s="240"/>
      <c r="AB42" s="240"/>
      <c r="AC42" s="240"/>
      <c r="AD42" s="241"/>
      <c r="AF42" s="239" t="s">
        <v>1545</v>
      </c>
      <c r="AG42" s="240"/>
      <c r="AH42" s="240"/>
      <c r="AI42" s="240"/>
      <c r="AJ42" s="240"/>
      <c r="AK42" s="240"/>
      <c r="AL42" s="240"/>
      <c r="AM42" s="240"/>
      <c r="AN42" s="241"/>
    </row>
    <row r="43" spans="2:40" ht="16">
      <c r="B43" s="676" t="s">
        <v>106</v>
      </c>
      <c r="C43" s="677"/>
      <c r="D43" s="677"/>
      <c r="E43" s="677"/>
      <c r="F43" s="677"/>
      <c r="G43" s="677"/>
      <c r="H43" s="677"/>
      <c r="I43" s="677"/>
      <c r="J43" s="678"/>
      <c r="L43" s="235" t="s">
        <v>107</v>
      </c>
      <c r="M43" s="237"/>
      <c r="N43" s="237"/>
      <c r="O43" s="237"/>
      <c r="P43" s="237"/>
      <c r="Q43" s="237"/>
      <c r="R43" s="237"/>
      <c r="S43" s="237"/>
      <c r="T43" s="333"/>
      <c r="V43" s="239"/>
      <c r="W43" s="240"/>
      <c r="X43" s="240"/>
      <c r="Y43" s="240"/>
      <c r="Z43" s="240"/>
      <c r="AA43" s="240"/>
      <c r="AB43" s="240"/>
      <c r="AC43" s="240"/>
      <c r="AD43" s="241"/>
      <c r="AF43" s="239" t="s">
        <v>957</v>
      </c>
      <c r="AG43" s="240"/>
      <c r="AH43" s="240"/>
      <c r="AI43" s="240"/>
      <c r="AJ43" s="240"/>
      <c r="AK43" s="240"/>
      <c r="AL43" s="240"/>
      <c r="AM43" s="240"/>
      <c r="AN43" s="241"/>
    </row>
    <row r="44" spans="2:40" ht="16">
      <c r="B44" s="676" t="s">
        <v>102</v>
      </c>
      <c r="C44" s="677"/>
      <c r="D44" s="677"/>
      <c r="E44" s="677"/>
      <c r="F44" s="677"/>
      <c r="G44" s="677"/>
      <c r="H44" s="677"/>
      <c r="I44" s="677"/>
      <c r="J44" s="678"/>
      <c r="L44" s="235" t="s">
        <v>108</v>
      </c>
      <c r="M44" s="237"/>
      <c r="N44" s="237"/>
      <c r="O44" s="237"/>
      <c r="P44" s="237"/>
      <c r="Q44" s="237"/>
      <c r="R44" s="237"/>
      <c r="S44" s="237"/>
      <c r="T44" s="333"/>
      <c r="V44" s="251" t="s">
        <v>976</v>
      </c>
      <c r="W44" s="240"/>
      <c r="X44" s="240"/>
      <c r="Y44" s="240"/>
      <c r="Z44" s="240"/>
      <c r="AA44" s="240"/>
      <c r="AB44" s="240"/>
      <c r="AC44" s="240"/>
      <c r="AD44" s="241"/>
      <c r="AF44" s="239"/>
      <c r="AG44" s="240"/>
      <c r="AH44" s="240"/>
      <c r="AI44" s="240"/>
      <c r="AJ44" s="240"/>
      <c r="AK44" s="240"/>
      <c r="AL44" s="240"/>
      <c r="AM44" s="240"/>
      <c r="AN44" s="241"/>
    </row>
    <row r="45" spans="2:40" ht="16">
      <c r="B45" s="676" t="s">
        <v>109</v>
      </c>
      <c r="C45" s="677"/>
      <c r="D45" s="677"/>
      <c r="E45" s="677"/>
      <c r="F45" s="677"/>
      <c r="G45" s="677"/>
      <c r="H45" s="677"/>
      <c r="I45" s="677"/>
      <c r="J45" s="678"/>
      <c r="L45" s="235" t="s">
        <v>110</v>
      </c>
      <c r="M45" s="237"/>
      <c r="N45" s="237"/>
      <c r="O45" s="237"/>
      <c r="P45" s="237"/>
      <c r="Q45" s="237"/>
      <c r="R45" s="237"/>
      <c r="S45" s="237"/>
      <c r="T45" s="333"/>
      <c r="V45" s="235" t="s">
        <v>960</v>
      </c>
      <c r="W45" s="240"/>
      <c r="X45" s="240"/>
      <c r="Y45" s="240"/>
      <c r="Z45" s="240"/>
      <c r="AA45" s="240"/>
      <c r="AB45" s="240"/>
      <c r="AC45" s="240"/>
      <c r="AD45" s="241"/>
      <c r="AF45" s="251" t="s">
        <v>976</v>
      </c>
      <c r="AG45" s="240"/>
      <c r="AH45" s="240"/>
      <c r="AI45" s="240"/>
      <c r="AJ45" s="240"/>
      <c r="AK45" s="240"/>
      <c r="AL45" s="240"/>
      <c r="AM45" s="240"/>
      <c r="AN45" s="241"/>
    </row>
    <row r="46" spans="2:40" ht="16">
      <c r="B46" s="256" t="s">
        <v>889</v>
      </c>
      <c r="C46" s="236"/>
      <c r="D46" s="236"/>
      <c r="E46" s="236"/>
      <c r="F46" s="236"/>
      <c r="G46" s="236"/>
      <c r="H46" s="236"/>
      <c r="I46" s="236"/>
      <c r="J46" s="257"/>
      <c r="L46" s="235" t="s">
        <v>111</v>
      </c>
      <c r="M46" s="237"/>
      <c r="N46" s="237"/>
      <c r="O46" s="237"/>
      <c r="P46" s="237"/>
      <c r="Q46" s="237"/>
      <c r="R46" s="237"/>
      <c r="S46" s="237"/>
      <c r="T46" s="333"/>
      <c r="V46" s="252" t="s">
        <v>961</v>
      </c>
      <c r="W46" s="666" t="s">
        <v>966</v>
      </c>
      <c r="X46" s="667"/>
      <c r="Y46" s="667"/>
      <c r="Z46" s="667"/>
      <c r="AA46" s="667"/>
      <c r="AB46" s="668"/>
      <c r="AC46" s="387" t="s">
        <v>1102</v>
      </c>
      <c r="AD46" s="252" t="s">
        <v>967</v>
      </c>
      <c r="AF46" s="235" t="s">
        <v>978</v>
      </c>
      <c r="AG46" s="240"/>
      <c r="AH46" s="240"/>
      <c r="AI46" s="240"/>
      <c r="AJ46" s="240"/>
      <c r="AK46" s="240"/>
      <c r="AL46" s="240"/>
      <c r="AM46" s="240"/>
      <c r="AN46" s="241"/>
    </row>
    <row r="47" spans="2:40" ht="16">
      <c r="B47" s="256" t="s">
        <v>892</v>
      </c>
      <c r="C47" s="236"/>
      <c r="D47" s="236"/>
      <c r="E47" s="236"/>
      <c r="F47" s="236"/>
      <c r="G47" s="236"/>
      <c r="H47" s="236"/>
      <c r="I47" s="236"/>
      <c r="J47" s="257"/>
      <c r="L47" s="382" t="s">
        <v>1088</v>
      </c>
      <c r="M47" s="359"/>
      <c r="N47" s="359"/>
      <c r="O47" s="359"/>
      <c r="P47" s="359"/>
      <c r="Q47" s="359"/>
      <c r="R47" s="359"/>
      <c r="S47" s="237"/>
      <c r="T47" s="333"/>
      <c r="V47" s="669" t="s">
        <v>963</v>
      </c>
      <c r="W47" s="672" t="s">
        <v>968</v>
      </c>
      <c r="X47" s="673"/>
      <c r="Y47" s="253"/>
      <c r="Z47" s="669" t="s">
        <v>971</v>
      </c>
      <c r="AA47" s="672" t="s">
        <v>973</v>
      </c>
      <c r="AB47" s="673"/>
      <c r="AC47" s="254"/>
      <c r="AD47" s="255"/>
      <c r="AF47" s="252" t="s">
        <v>961</v>
      </c>
      <c r="AG47" s="666" t="s">
        <v>966</v>
      </c>
      <c r="AH47" s="667"/>
      <c r="AI47" s="667"/>
      <c r="AJ47" s="667"/>
      <c r="AK47" s="667"/>
      <c r="AL47" s="668"/>
      <c r="AM47" s="387" t="s">
        <v>1102</v>
      </c>
      <c r="AN47" s="252" t="s">
        <v>967</v>
      </c>
    </row>
    <row r="48" spans="2:40" ht="16">
      <c r="B48" s="256"/>
      <c r="C48" s="236"/>
      <c r="D48" s="236"/>
      <c r="E48" s="236"/>
      <c r="F48" s="236"/>
      <c r="G48" s="236"/>
      <c r="H48" s="236"/>
      <c r="I48" s="236"/>
      <c r="J48" s="257"/>
      <c r="L48" s="382" t="s">
        <v>1089</v>
      </c>
      <c r="M48" s="359"/>
      <c r="N48" s="359"/>
      <c r="O48" s="359"/>
      <c r="P48" s="359"/>
      <c r="Q48" s="359"/>
      <c r="R48" s="359"/>
      <c r="S48" s="237"/>
      <c r="T48" s="333"/>
      <c r="V48" s="670"/>
      <c r="W48" s="672" t="s">
        <v>969</v>
      </c>
      <c r="X48" s="673"/>
      <c r="Y48" s="281"/>
      <c r="Z48" s="671"/>
      <c r="AA48" s="672" t="s">
        <v>974</v>
      </c>
      <c r="AB48" s="673"/>
      <c r="AC48" s="254"/>
      <c r="AD48" s="255"/>
      <c r="AF48" s="669" t="s">
        <v>963</v>
      </c>
      <c r="AG48" s="672" t="s">
        <v>78</v>
      </c>
      <c r="AH48" s="673"/>
      <c r="AI48" s="253"/>
      <c r="AJ48" s="669" t="s">
        <v>79</v>
      </c>
      <c r="AK48" s="672" t="s">
        <v>973</v>
      </c>
      <c r="AL48" s="673"/>
      <c r="AM48" s="254"/>
      <c r="AN48" s="255"/>
    </row>
    <row r="49" spans="2:40" ht="16">
      <c r="B49" s="339" t="s">
        <v>1021</v>
      </c>
      <c r="C49" s="236"/>
      <c r="D49" s="236"/>
      <c r="E49" s="236"/>
      <c r="F49" s="236"/>
      <c r="G49" s="236"/>
      <c r="H49" s="236"/>
      <c r="I49" s="236"/>
      <c r="J49" s="257"/>
      <c r="L49" s="382" t="s">
        <v>1090</v>
      </c>
      <c r="M49" s="359"/>
      <c r="N49" s="359"/>
      <c r="O49" s="359"/>
      <c r="P49" s="359"/>
      <c r="Q49" s="359"/>
      <c r="R49" s="359"/>
      <c r="S49" s="237"/>
      <c r="T49" s="333"/>
      <c r="V49" s="671"/>
      <c r="W49" s="672" t="s">
        <v>970</v>
      </c>
      <c r="X49" s="673"/>
      <c r="Y49" s="253"/>
      <c r="Z49" s="252" t="s">
        <v>972</v>
      </c>
      <c r="AA49" s="672"/>
      <c r="AB49" s="673"/>
      <c r="AC49" s="254"/>
      <c r="AD49" s="255"/>
      <c r="AF49" s="670"/>
      <c r="AG49" s="672" t="s">
        <v>969</v>
      </c>
      <c r="AH49" s="673"/>
      <c r="AI49" s="281"/>
      <c r="AJ49" s="671"/>
      <c r="AK49" s="672" t="s">
        <v>974</v>
      </c>
      <c r="AL49" s="673"/>
      <c r="AM49" s="254"/>
      <c r="AN49" s="255"/>
    </row>
    <row r="50" spans="2:40" ht="16">
      <c r="B50" s="256" t="s">
        <v>105</v>
      </c>
      <c r="C50" s="236"/>
      <c r="D50" s="236"/>
      <c r="E50" s="236"/>
      <c r="F50" s="236"/>
      <c r="G50" s="236"/>
      <c r="H50" s="236"/>
      <c r="I50" s="236"/>
      <c r="J50" s="257"/>
      <c r="L50" s="382" t="s">
        <v>1091</v>
      </c>
      <c r="M50" s="359"/>
      <c r="N50" s="359"/>
      <c r="O50" s="359"/>
      <c r="P50" s="359"/>
      <c r="Q50" s="359"/>
      <c r="R50" s="359"/>
      <c r="S50" s="237"/>
      <c r="T50" s="333"/>
      <c r="V50" s="669" t="s">
        <v>965</v>
      </c>
      <c r="W50" s="672" t="s">
        <v>968</v>
      </c>
      <c r="X50" s="673"/>
      <c r="Y50" s="253"/>
      <c r="Z50" s="669" t="s">
        <v>971</v>
      </c>
      <c r="AA50" s="672" t="s">
        <v>973</v>
      </c>
      <c r="AB50" s="673"/>
      <c r="AC50" s="254"/>
      <c r="AD50" s="255"/>
      <c r="AF50" s="671"/>
      <c r="AG50" s="672" t="s">
        <v>970</v>
      </c>
      <c r="AH50" s="673"/>
      <c r="AI50" s="253"/>
      <c r="AJ50" s="252" t="s">
        <v>972</v>
      </c>
      <c r="AK50" s="672"/>
      <c r="AL50" s="673"/>
      <c r="AM50" s="254"/>
      <c r="AN50" s="255"/>
    </row>
    <row r="51" spans="2:40" ht="16">
      <c r="B51" s="256" t="s">
        <v>107</v>
      </c>
      <c r="C51" s="236"/>
      <c r="D51" s="236"/>
      <c r="E51" s="236"/>
      <c r="F51" s="236"/>
      <c r="G51" s="236"/>
      <c r="H51" s="236"/>
      <c r="I51" s="236"/>
      <c r="J51" s="257"/>
      <c r="L51" s="367"/>
      <c r="M51" s="359"/>
      <c r="N51" s="359"/>
      <c r="O51" s="359"/>
      <c r="P51" s="359"/>
      <c r="Q51" s="359"/>
      <c r="R51" s="359"/>
      <c r="S51" s="237"/>
      <c r="T51" s="333"/>
      <c r="V51" s="670"/>
      <c r="W51" s="672" t="s">
        <v>969</v>
      </c>
      <c r="X51" s="673"/>
      <c r="Y51" s="253"/>
      <c r="Z51" s="671"/>
      <c r="AA51" s="672" t="s">
        <v>974</v>
      </c>
      <c r="AB51" s="673"/>
      <c r="AC51" s="254"/>
      <c r="AD51" s="255"/>
      <c r="AF51" s="669" t="s">
        <v>965</v>
      </c>
      <c r="AG51" s="672" t="s">
        <v>78</v>
      </c>
      <c r="AH51" s="673"/>
      <c r="AI51" s="253"/>
      <c r="AJ51" s="669" t="s">
        <v>79</v>
      </c>
      <c r="AK51" s="672" t="s">
        <v>973</v>
      </c>
      <c r="AL51" s="673"/>
      <c r="AM51" s="254"/>
      <c r="AN51" s="255"/>
    </row>
    <row r="52" spans="2:40" ht="16">
      <c r="B52" s="235" t="s">
        <v>108</v>
      </c>
      <c r="C52" s="237"/>
      <c r="D52" s="237"/>
      <c r="E52" s="237"/>
      <c r="F52" s="237"/>
      <c r="G52" s="237"/>
      <c r="H52" s="237"/>
      <c r="I52" s="237"/>
      <c r="J52" s="333"/>
      <c r="L52" s="334" t="s">
        <v>1022</v>
      </c>
      <c r="M52" s="237"/>
      <c r="N52" s="237"/>
      <c r="O52" s="237"/>
      <c r="P52" s="237"/>
      <c r="Q52" s="237"/>
      <c r="R52" s="237"/>
      <c r="S52" s="237"/>
      <c r="T52" s="333"/>
      <c r="V52" s="671"/>
      <c r="W52" s="672" t="s">
        <v>970</v>
      </c>
      <c r="X52" s="673"/>
      <c r="Y52" s="253"/>
      <c r="Z52" s="252" t="s">
        <v>972</v>
      </c>
      <c r="AA52" s="672"/>
      <c r="AB52" s="673"/>
      <c r="AC52" s="254"/>
      <c r="AD52" s="255"/>
      <c r="AF52" s="670"/>
      <c r="AG52" s="672" t="s">
        <v>969</v>
      </c>
      <c r="AH52" s="673"/>
      <c r="AI52" s="253"/>
      <c r="AJ52" s="671"/>
      <c r="AK52" s="672" t="s">
        <v>974</v>
      </c>
      <c r="AL52" s="673"/>
      <c r="AM52" s="254"/>
      <c r="AN52" s="255"/>
    </row>
    <row r="53" spans="2:40" ht="16">
      <c r="B53" s="235" t="s">
        <v>110</v>
      </c>
      <c r="C53" s="237"/>
      <c r="D53" s="237"/>
      <c r="E53" s="237"/>
      <c r="F53" s="237"/>
      <c r="G53" s="237"/>
      <c r="H53" s="237"/>
      <c r="I53" s="237"/>
      <c r="J53" s="333"/>
      <c r="L53" s="235" t="s">
        <v>112</v>
      </c>
      <c r="M53" s="237"/>
      <c r="N53" s="237"/>
      <c r="O53" s="237"/>
      <c r="P53" s="237"/>
      <c r="Q53" s="237"/>
      <c r="R53" s="237"/>
      <c r="S53" s="237"/>
      <c r="T53" s="333"/>
      <c r="V53" s="235" t="s">
        <v>975</v>
      </c>
      <c r="W53" s="240"/>
      <c r="X53" s="240"/>
      <c r="Y53" s="240"/>
      <c r="Z53" s="240"/>
      <c r="AA53" s="240"/>
      <c r="AB53" s="240"/>
      <c r="AC53" s="240"/>
      <c r="AD53" s="241"/>
      <c r="AF53" s="671"/>
      <c r="AG53" s="672" t="s">
        <v>970</v>
      </c>
      <c r="AH53" s="673"/>
      <c r="AI53" s="253"/>
      <c r="AJ53" s="252" t="s">
        <v>972</v>
      </c>
      <c r="AK53" s="672"/>
      <c r="AL53" s="673"/>
      <c r="AM53" s="254"/>
      <c r="AN53" s="255"/>
    </row>
    <row r="54" spans="2:40" ht="16">
      <c r="B54" s="235" t="s">
        <v>111</v>
      </c>
      <c r="C54" s="237"/>
      <c r="D54" s="237"/>
      <c r="E54" s="237"/>
      <c r="F54" s="237"/>
      <c r="G54" s="237"/>
      <c r="H54" s="237"/>
      <c r="I54" s="237"/>
      <c r="J54" s="333"/>
      <c r="L54" s="235" t="s">
        <v>113</v>
      </c>
      <c r="M54" s="237"/>
      <c r="N54" s="237"/>
      <c r="O54" s="237"/>
      <c r="P54" s="237"/>
      <c r="Q54" s="237"/>
      <c r="R54" s="237"/>
      <c r="S54" s="237"/>
      <c r="T54" s="333"/>
      <c r="V54" s="235"/>
      <c r="W54" s="240"/>
      <c r="X54" s="240"/>
      <c r="Y54" s="240"/>
      <c r="Z54" s="240"/>
      <c r="AA54" s="240"/>
      <c r="AB54" s="240"/>
      <c r="AC54" s="240"/>
      <c r="AD54" s="241"/>
      <c r="AF54" s="235" t="s">
        <v>975</v>
      </c>
      <c r="AG54" s="240"/>
      <c r="AH54" s="240"/>
      <c r="AI54" s="240"/>
      <c r="AJ54" s="240"/>
      <c r="AK54" s="240"/>
      <c r="AL54" s="240"/>
      <c r="AM54" s="240"/>
      <c r="AN54" s="241"/>
    </row>
    <row r="55" spans="2:40" ht="16">
      <c r="B55" s="382" t="s">
        <v>1088</v>
      </c>
      <c r="C55" s="359"/>
      <c r="D55" s="359"/>
      <c r="E55" s="359"/>
      <c r="F55" s="359"/>
      <c r="G55" s="359"/>
      <c r="H55" s="359"/>
      <c r="I55" s="237"/>
      <c r="J55" s="333"/>
      <c r="L55" s="235" t="s">
        <v>114</v>
      </c>
      <c r="M55" s="237"/>
      <c r="N55" s="237"/>
      <c r="O55" s="237"/>
      <c r="P55" s="237"/>
      <c r="Q55" s="237"/>
      <c r="R55" s="237"/>
      <c r="S55" s="237"/>
      <c r="T55" s="333"/>
      <c r="V55" s="251" t="s">
        <v>977</v>
      </c>
      <c r="W55" s="240"/>
      <c r="X55" s="240"/>
      <c r="Y55" s="240"/>
      <c r="Z55" s="240"/>
      <c r="AA55" s="240"/>
      <c r="AB55" s="240"/>
      <c r="AC55" s="240"/>
      <c r="AD55" s="241"/>
      <c r="AF55" s="235"/>
      <c r="AG55" s="240"/>
      <c r="AH55" s="240"/>
      <c r="AI55" s="240"/>
      <c r="AJ55" s="240"/>
      <c r="AK55" s="240"/>
      <c r="AL55" s="240"/>
      <c r="AM55" s="240"/>
      <c r="AN55" s="241"/>
    </row>
    <row r="56" spans="2:40" ht="16">
      <c r="B56" s="382" t="s">
        <v>1089</v>
      </c>
      <c r="C56" s="359"/>
      <c r="D56" s="359"/>
      <c r="E56" s="359"/>
      <c r="F56" s="359"/>
      <c r="G56" s="359"/>
      <c r="H56" s="359"/>
      <c r="I56" s="237"/>
      <c r="J56" s="333"/>
      <c r="L56" s="235" t="s">
        <v>115</v>
      </c>
      <c r="M56" s="237"/>
      <c r="N56" s="237"/>
      <c r="O56" s="237"/>
      <c r="P56" s="237"/>
      <c r="Q56" s="237"/>
      <c r="R56" s="237"/>
      <c r="S56" s="237"/>
      <c r="T56" s="333"/>
      <c r="V56" s="235" t="s">
        <v>978</v>
      </c>
      <c r="W56" s="240"/>
      <c r="X56" s="240"/>
      <c r="Y56" s="240"/>
      <c r="Z56" s="240"/>
      <c r="AA56" s="240"/>
      <c r="AB56" s="240"/>
      <c r="AC56" s="240"/>
      <c r="AD56" s="241"/>
      <c r="AF56" s="251" t="s">
        <v>977</v>
      </c>
      <c r="AG56" s="240"/>
      <c r="AH56" s="240"/>
      <c r="AI56" s="240"/>
      <c r="AJ56" s="240"/>
      <c r="AK56" s="240"/>
      <c r="AL56" s="240"/>
      <c r="AM56" s="240"/>
      <c r="AN56" s="241"/>
    </row>
    <row r="57" spans="2:40" ht="16">
      <c r="B57" s="382" t="s">
        <v>1090</v>
      </c>
      <c r="C57" s="359"/>
      <c r="D57" s="359"/>
      <c r="E57" s="359"/>
      <c r="F57" s="359"/>
      <c r="G57" s="359"/>
      <c r="H57" s="359"/>
      <c r="I57" s="237"/>
      <c r="J57" s="333"/>
      <c r="L57" s="235" t="s">
        <v>1005</v>
      </c>
      <c r="M57" s="237"/>
      <c r="N57" s="237"/>
      <c r="O57" s="237"/>
      <c r="P57" s="237"/>
      <c r="Q57" s="237"/>
      <c r="R57" s="237"/>
      <c r="S57" s="237"/>
      <c r="T57" s="333"/>
      <c r="V57" s="666" t="s">
        <v>966</v>
      </c>
      <c r="W57" s="667"/>
      <c r="X57" s="667"/>
      <c r="Y57" s="667"/>
      <c r="Z57" s="667"/>
      <c r="AA57" s="667"/>
      <c r="AB57" s="668"/>
      <c r="AC57" s="387" t="s">
        <v>1102</v>
      </c>
      <c r="AD57" s="252" t="s">
        <v>967</v>
      </c>
      <c r="AF57" s="235" t="s">
        <v>978</v>
      </c>
      <c r="AG57" s="240"/>
      <c r="AH57" s="240"/>
      <c r="AI57" s="240"/>
      <c r="AJ57" s="240"/>
      <c r="AK57" s="240"/>
      <c r="AL57" s="240"/>
      <c r="AM57" s="240"/>
      <c r="AN57" s="241"/>
    </row>
    <row r="58" spans="2:40" ht="16.5" customHeight="1">
      <c r="B58" s="382" t="s">
        <v>1091</v>
      </c>
      <c r="C58" s="359"/>
      <c r="D58" s="359"/>
      <c r="E58" s="359"/>
      <c r="F58" s="359"/>
      <c r="G58" s="359"/>
      <c r="H58" s="359"/>
      <c r="I58" s="237"/>
      <c r="J58" s="333"/>
      <c r="L58" s="235" t="s">
        <v>1006</v>
      </c>
      <c r="M58" s="237"/>
      <c r="N58" s="237"/>
      <c r="O58" s="237"/>
      <c r="P58" s="237"/>
      <c r="Q58" s="237"/>
      <c r="R58" s="237"/>
      <c r="S58" s="237"/>
      <c r="T58" s="333"/>
      <c r="V58" s="340" t="s">
        <v>968</v>
      </c>
      <c r="W58" s="341"/>
      <c r="X58" s="686"/>
      <c r="Y58" s="687"/>
      <c r="Z58" s="669" t="s">
        <v>971</v>
      </c>
      <c r="AA58" s="672" t="s">
        <v>973</v>
      </c>
      <c r="AB58" s="673"/>
      <c r="AC58" s="254"/>
      <c r="AD58" s="255"/>
      <c r="AF58" s="666" t="s">
        <v>966</v>
      </c>
      <c r="AG58" s="667"/>
      <c r="AH58" s="667"/>
      <c r="AI58" s="667"/>
      <c r="AJ58" s="667"/>
      <c r="AK58" s="667"/>
      <c r="AL58" s="668"/>
      <c r="AM58" s="387" t="s">
        <v>1102</v>
      </c>
      <c r="AN58" s="252" t="s">
        <v>967</v>
      </c>
    </row>
    <row r="59" spans="2:40" ht="16">
      <c r="B59" s="235"/>
      <c r="C59" s="237"/>
      <c r="D59" s="237"/>
      <c r="E59" s="237"/>
      <c r="F59" s="237"/>
      <c r="G59" s="237"/>
      <c r="H59" s="237"/>
      <c r="I59" s="237"/>
      <c r="J59" s="333"/>
      <c r="L59" s="256" t="s">
        <v>1133</v>
      </c>
      <c r="M59" s="236"/>
      <c r="N59" s="236"/>
      <c r="O59" s="236"/>
      <c r="P59" s="236"/>
      <c r="Q59" s="236"/>
      <c r="R59" s="236"/>
      <c r="S59" s="359"/>
      <c r="T59" s="360"/>
      <c r="V59" s="340" t="s">
        <v>969</v>
      </c>
      <c r="W59" s="341"/>
      <c r="X59" s="688"/>
      <c r="Y59" s="688"/>
      <c r="Z59" s="671"/>
      <c r="AA59" s="672" t="s">
        <v>974</v>
      </c>
      <c r="AB59" s="673"/>
      <c r="AC59" s="254"/>
      <c r="AD59" s="255"/>
      <c r="AF59" s="340" t="s">
        <v>78</v>
      </c>
      <c r="AG59" s="341"/>
      <c r="AH59" s="686"/>
      <c r="AI59" s="687"/>
      <c r="AJ59" s="669" t="s">
        <v>79</v>
      </c>
      <c r="AK59" s="672" t="s">
        <v>973</v>
      </c>
      <c r="AL59" s="673"/>
      <c r="AM59" s="254"/>
      <c r="AN59" s="255"/>
    </row>
    <row r="60" spans="2:40" ht="16">
      <c r="B60" s="334" t="s">
        <v>1023</v>
      </c>
      <c r="C60" s="237"/>
      <c r="D60" s="237"/>
      <c r="E60" s="237"/>
      <c r="F60" s="237"/>
      <c r="G60" s="237"/>
      <c r="H60" s="237"/>
      <c r="I60" s="237"/>
      <c r="J60" s="333"/>
      <c r="L60" s="235" t="s">
        <v>116</v>
      </c>
      <c r="M60" s="236"/>
      <c r="N60" s="236"/>
      <c r="O60" s="236"/>
      <c r="P60" s="236"/>
      <c r="Q60" s="236"/>
      <c r="R60" s="236"/>
      <c r="S60" s="237"/>
      <c r="T60" s="333"/>
      <c r="V60" s="340" t="s">
        <v>970</v>
      </c>
      <c r="W60" s="341"/>
      <c r="X60" s="674"/>
      <c r="Y60" s="675"/>
      <c r="Z60" s="252" t="s">
        <v>972</v>
      </c>
      <c r="AA60" s="672"/>
      <c r="AB60" s="673"/>
      <c r="AC60" s="254"/>
      <c r="AD60" s="255"/>
      <c r="AF60" s="340" t="s">
        <v>969</v>
      </c>
      <c r="AG60" s="341"/>
      <c r="AH60" s="688"/>
      <c r="AI60" s="688"/>
      <c r="AJ60" s="671"/>
      <c r="AK60" s="672" t="s">
        <v>974</v>
      </c>
      <c r="AL60" s="673"/>
      <c r="AM60" s="254"/>
      <c r="AN60" s="255"/>
    </row>
    <row r="61" spans="2:40" ht="16">
      <c r="B61" s="235" t="s">
        <v>112</v>
      </c>
      <c r="C61" s="237"/>
      <c r="D61" s="237"/>
      <c r="E61" s="237"/>
      <c r="F61" s="237"/>
      <c r="G61" s="237"/>
      <c r="H61" s="237"/>
      <c r="I61" s="237"/>
      <c r="J61" s="333"/>
      <c r="L61" s="235" t="s">
        <v>117</v>
      </c>
      <c r="M61" s="237"/>
      <c r="N61" s="237"/>
      <c r="O61" s="237"/>
      <c r="P61" s="237"/>
      <c r="Q61" s="237"/>
      <c r="R61" s="237"/>
      <c r="S61" s="237"/>
      <c r="T61" s="333"/>
      <c r="V61" s="235"/>
      <c r="W61" s="237"/>
      <c r="Z61" s="348"/>
      <c r="AA61" s="237"/>
      <c r="AB61" s="237"/>
      <c r="AC61" s="279"/>
      <c r="AD61" s="280"/>
      <c r="AF61" s="340" t="s">
        <v>970</v>
      </c>
      <c r="AG61" s="341"/>
      <c r="AH61" s="674"/>
      <c r="AI61" s="675"/>
      <c r="AJ61" s="252" t="s">
        <v>972</v>
      </c>
      <c r="AK61" s="672"/>
      <c r="AL61" s="673"/>
      <c r="AM61" s="254"/>
      <c r="AN61" s="255"/>
    </row>
    <row r="62" spans="2:40" ht="16">
      <c r="B62" s="235" t="s">
        <v>113</v>
      </c>
      <c r="C62" s="237"/>
      <c r="D62" s="237"/>
      <c r="E62" s="237"/>
      <c r="F62" s="237"/>
      <c r="G62" s="237"/>
      <c r="H62" s="237"/>
      <c r="I62" s="237"/>
      <c r="J62" s="333"/>
      <c r="L62" s="235" t="s">
        <v>118</v>
      </c>
      <c r="M62" s="237"/>
      <c r="N62" s="237"/>
      <c r="O62" s="237"/>
      <c r="P62" s="237"/>
      <c r="Q62" s="237"/>
      <c r="R62" s="237"/>
      <c r="S62" s="237"/>
      <c r="T62" s="333"/>
      <c r="V62" s="680" t="s">
        <v>1117</v>
      </c>
      <c r="W62" s="681"/>
      <c r="X62" s="681"/>
      <c r="Y62" s="681"/>
      <c r="Z62" s="681"/>
      <c r="AA62" s="681"/>
      <c r="AB62" s="681"/>
      <c r="AC62" s="681"/>
      <c r="AD62" s="682"/>
      <c r="AF62" s="235"/>
      <c r="AG62" s="237"/>
      <c r="AH62" s="214"/>
      <c r="AI62" s="214"/>
      <c r="AJ62" s="348"/>
      <c r="AK62" s="237"/>
      <c r="AL62" s="237"/>
      <c r="AM62" s="279"/>
      <c r="AN62" s="280"/>
    </row>
    <row r="63" spans="2:40" ht="16">
      <c r="B63" s="235" t="s">
        <v>114</v>
      </c>
      <c r="C63" s="237"/>
      <c r="D63" s="237"/>
      <c r="E63" s="237"/>
      <c r="F63" s="237"/>
      <c r="G63" s="237"/>
      <c r="H63" s="237"/>
      <c r="I63" s="237"/>
      <c r="J63" s="333"/>
      <c r="L63" s="235" t="s">
        <v>119</v>
      </c>
      <c r="M63" s="237"/>
      <c r="N63" s="237"/>
      <c r="O63" s="237"/>
      <c r="P63" s="237"/>
      <c r="Q63" s="237"/>
      <c r="R63" s="237"/>
      <c r="S63" s="237"/>
      <c r="T63" s="333"/>
      <c r="V63" s="676" t="s">
        <v>979</v>
      </c>
      <c r="W63" s="677"/>
      <c r="X63" s="677"/>
      <c r="Y63" s="677"/>
      <c r="Z63" s="677"/>
      <c r="AA63" s="677"/>
      <c r="AB63" s="677"/>
      <c r="AC63" s="677"/>
      <c r="AD63" s="678"/>
      <c r="AF63" s="680" t="s">
        <v>1117</v>
      </c>
      <c r="AG63" s="681"/>
      <c r="AH63" s="681"/>
      <c r="AI63" s="681"/>
      <c r="AJ63" s="681"/>
      <c r="AK63" s="681"/>
      <c r="AL63" s="681"/>
      <c r="AM63" s="681"/>
      <c r="AN63" s="682"/>
    </row>
    <row r="64" spans="2:40" ht="16">
      <c r="B64" s="235" t="s">
        <v>115</v>
      </c>
      <c r="C64" s="237"/>
      <c r="D64" s="237"/>
      <c r="E64" s="237"/>
      <c r="F64" s="237"/>
      <c r="G64" s="237"/>
      <c r="H64" s="237"/>
      <c r="I64" s="237"/>
      <c r="J64" s="333"/>
      <c r="L64" s="683" t="s">
        <v>1008</v>
      </c>
      <c r="M64" s="684"/>
      <c r="N64" s="684"/>
      <c r="O64" s="684"/>
      <c r="P64" s="684"/>
      <c r="Q64" s="684"/>
      <c r="R64" s="684"/>
      <c r="S64" s="684"/>
      <c r="T64" s="685"/>
      <c r="V64" s="256" t="s">
        <v>1141</v>
      </c>
      <c r="W64" s="236"/>
      <c r="X64" s="236"/>
      <c r="Y64" s="236"/>
      <c r="Z64" s="236"/>
      <c r="AA64" s="236"/>
      <c r="AB64" s="236"/>
      <c r="AC64" s="236"/>
      <c r="AD64" s="257"/>
      <c r="AF64" s="676" t="s">
        <v>979</v>
      </c>
      <c r="AG64" s="677"/>
      <c r="AH64" s="677"/>
      <c r="AI64" s="677"/>
      <c r="AJ64" s="677"/>
      <c r="AK64" s="677"/>
      <c r="AL64" s="677"/>
      <c r="AM64" s="677"/>
      <c r="AN64" s="678"/>
    </row>
    <row r="65" spans="2:40" ht="16">
      <c r="B65" s="235" t="s">
        <v>1007</v>
      </c>
      <c r="C65" s="237"/>
      <c r="D65" s="237"/>
      <c r="E65" s="237"/>
      <c r="F65" s="237"/>
      <c r="G65" s="237"/>
      <c r="H65" s="237"/>
      <c r="I65" s="237"/>
      <c r="J65" s="333"/>
      <c r="L65" s="235" t="s">
        <v>1009</v>
      </c>
      <c r="M65" s="337"/>
      <c r="N65" s="337"/>
      <c r="O65" s="337"/>
      <c r="P65" s="337"/>
      <c r="Q65" s="337"/>
      <c r="R65" s="337"/>
      <c r="S65" s="337"/>
      <c r="T65" s="338"/>
      <c r="V65" s="256" t="s">
        <v>890</v>
      </c>
      <c r="W65" s="236"/>
      <c r="X65" s="236"/>
      <c r="Y65" s="236"/>
      <c r="Z65" s="236"/>
      <c r="AA65" s="236"/>
      <c r="AB65" s="236"/>
      <c r="AC65" s="236"/>
      <c r="AD65" s="257"/>
      <c r="AF65" s="256" t="s">
        <v>1141</v>
      </c>
      <c r="AG65" s="236"/>
      <c r="AH65" s="236"/>
      <c r="AI65" s="236"/>
      <c r="AJ65" s="236"/>
      <c r="AK65" s="236"/>
      <c r="AL65" s="236"/>
      <c r="AM65" s="236"/>
      <c r="AN65" s="257"/>
    </row>
    <row r="66" spans="2:40" ht="16">
      <c r="B66" s="235" t="s">
        <v>1006</v>
      </c>
      <c r="C66" s="237"/>
      <c r="D66" s="237"/>
      <c r="E66" s="237"/>
      <c r="F66" s="237"/>
      <c r="G66" s="237"/>
      <c r="H66" s="237"/>
      <c r="I66" s="237"/>
      <c r="J66" s="333"/>
      <c r="L66" s="235" t="s">
        <v>1010</v>
      </c>
      <c r="M66" s="337"/>
      <c r="N66" s="337"/>
      <c r="O66" s="337"/>
      <c r="P66" s="337"/>
      <c r="Q66" s="337"/>
      <c r="R66" s="337"/>
      <c r="S66" s="337"/>
      <c r="T66" s="338"/>
      <c r="V66" s="676" t="s">
        <v>980</v>
      </c>
      <c r="W66" s="677"/>
      <c r="X66" s="677"/>
      <c r="Y66" s="677"/>
      <c r="Z66" s="677"/>
      <c r="AA66" s="677"/>
      <c r="AB66" s="677"/>
      <c r="AC66" s="677"/>
      <c r="AD66" s="678"/>
      <c r="AF66" s="256" t="s">
        <v>890</v>
      </c>
      <c r="AG66" s="236"/>
      <c r="AH66" s="236"/>
      <c r="AI66" s="236"/>
      <c r="AJ66" s="236"/>
      <c r="AK66" s="236"/>
      <c r="AL66" s="236"/>
      <c r="AM66" s="236"/>
      <c r="AN66" s="257"/>
    </row>
    <row r="67" spans="2:40" ht="16">
      <c r="B67" s="256" t="s">
        <v>1134</v>
      </c>
      <c r="C67" s="236"/>
      <c r="D67" s="236"/>
      <c r="E67" s="236"/>
      <c r="F67" s="236"/>
      <c r="G67" s="236"/>
      <c r="H67" s="236"/>
      <c r="I67" s="359"/>
      <c r="J67" s="360"/>
      <c r="L67" s="235" t="s">
        <v>120</v>
      </c>
      <c r="M67" s="337"/>
      <c r="N67" s="337"/>
      <c r="O67" s="337"/>
      <c r="P67" s="337"/>
      <c r="Q67" s="337"/>
      <c r="R67" s="337"/>
      <c r="S67" s="337"/>
      <c r="T67" s="338"/>
      <c r="V67" s="676" t="s">
        <v>1142</v>
      </c>
      <c r="W67" s="677"/>
      <c r="X67" s="677"/>
      <c r="Y67" s="677"/>
      <c r="Z67" s="677"/>
      <c r="AA67" s="677"/>
      <c r="AB67" s="677"/>
      <c r="AC67" s="677"/>
      <c r="AD67" s="678"/>
      <c r="AF67" s="676" t="s">
        <v>980</v>
      </c>
      <c r="AG67" s="677"/>
      <c r="AH67" s="677"/>
      <c r="AI67" s="677"/>
      <c r="AJ67" s="677"/>
      <c r="AK67" s="677"/>
      <c r="AL67" s="677"/>
      <c r="AM67" s="677"/>
      <c r="AN67" s="678"/>
    </row>
    <row r="68" spans="2:40" ht="16">
      <c r="B68" s="235" t="s">
        <v>116</v>
      </c>
      <c r="C68" s="237"/>
      <c r="D68" s="237"/>
      <c r="E68" s="237"/>
      <c r="F68" s="237"/>
      <c r="G68" s="237"/>
      <c r="H68" s="237"/>
      <c r="I68" s="237"/>
      <c r="J68" s="333"/>
      <c r="L68" s="235" t="s">
        <v>1011</v>
      </c>
      <c r="M68" s="337"/>
      <c r="N68" s="337"/>
      <c r="O68" s="337"/>
      <c r="P68" s="337"/>
      <c r="Q68" s="337"/>
      <c r="R68" s="337"/>
      <c r="S68" s="337"/>
      <c r="T68" s="338"/>
      <c r="V68" s="676" t="s">
        <v>1118</v>
      </c>
      <c r="W68" s="677"/>
      <c r="X68" s="677"/>
      <c r="Y68" s="677"/>
      <c r="Z68" s="677"/>
      <c r="AA68" s="677"/>
      <c r="AB68" s="677"/>
      <c r="AC68" s="677"/>
      <c r="AD68" s="678"/>
      <c r="AF68" s="676" t="s">
        <v>1142</v>
      </c>
      <c r="AG68" s="677"/>
      <c r="AH68" s="677"/>
      <c r="AI68" s="677"/>
      <c r="AJ68" s="677"/>
      <c r="AK68" s="677"/>
      <c r="AL68" s="677"/>
      <c r="AM68" s="677"/>
      <c r="AN68" s="678"/>
    </row>
    <row r="69" spans="2:40" ht="16.5" customHeight="1">
      <c r="B69" s="235" t="s">
        <v>117</v>
      </c>
      <c r="C69" s="237"/>
      <c r="D69" s="237"/>
      <c r="E69" s="237"/>
      <c r="F69" s="237"/>
      <c r="G69" s="237"/>
      <c r="H69" s="237"/>
      <c r="I69" s="237"/>
      <c r="J69" s="333"/>
      <c r="L69" s="235"/>
      <c r="M69" s="337"/>
      <c r="N69" s="337"/>
      <c r="O69" s="337"/>
      <c r="P69" s="337"/>
      <c r="Q69" s="337"/>
      <c r="R69" s="337"/>
      <c r="S69" s="337"/>
      <c r="T69" s="338"/>
      <c r="V69" s="676" t="s">
        <v>981</v>
      </c>
      <c r="W69" s="677"/>
      <c r="X69" s="677"/>
      <c r="Y69" s="677"/>
      <c r="Z69" s="677"/>
      <c r="AA69" s="677"/>
      <c r="AB69" s="677"/>
      <c r="AC69" s="677"/>
      <c r="AD69" s="678"/>
      <c r="AF69" s="676" t="s">
        <v>1118</v>
      </c>
      <c r="AG69" s="677"/>
      <c r="AH69" s="677"/>
      <c r="AI69" s="677"/>
      <c r="AJ69" s="677"/>
      <c r="AK69" s="677"/>
      <c r="AL69" s="677"/>
      <c r="AM69" s="677"/>
      <c r="AN69" s="678"/>
    </row>
    <row r="70" spans="2:40" ht="16">
      <c r="B70" s="235" t="s">
        <v>118</v>
      </c>
      <c r="C70" s="237"/>
      <c r="D70" s="237"/>
      <c r="E70" s="237"/>
      <c r="F70" s="237"/>
      <c r="G70" s="237"/>
      <c r="H70" s="237"/>
      <c r="I70" s="237"/>
      <c r="J70" s="333"/>
      <c r="L70" s="680" t="s">
        <v>121</v>
      </c>
      <c r="M70" s="681"/>
      <c r="N70" s="681"/>
      <c r="O70" s="681"/>
      <c r="P70" s="681"/>
      <c r="Q70" s="681"/>
      <c r="R70" s="681"/>
      <c r="S70" s="681"/>
      <c r="T70" s="682"/>
      <c r="V70" s="676" t="s">
        <v>1143</v>
      </c>
      <c r="W70" s="677"/>
      <c r="X70" s="677"/>
      <c r="Y70" s="677"/>
      <c r="Z70" s="677"/>
      <c r="AA70" s="677"/>
      <c r="AB70" s="677"/>
      <c r="AC70" s="677"/>
      <c r="AD70" s="678"/>
      <c r="AF70" s="676" t="s">
        <v>981</v>
      </c>
      <c r="AG70" s="677"/>
      <c r="AH70" s="677"/>
      <c r="AI70" s="677"/>
      <c r="AJ70" s="677"/>
      <c r="AK70" s="677"/>
      <c r="AL70" s="677"/>
      <c r="AM70" s="677"/>
      <c r="AN70" s="678"/>
    </row>
    <row r="71" spans="2:40" ht="16.5" customHeight="1">
      <c r="B71" s="235" t="s">
        <v>119</v>
      </c>
      <c r="C71" s="237"/>
      <c r="D71" s="237"/>
      <c r="E71" s="237"/>
      <c r="F71" s="237"/>
      <c r="G71" s="237"/>
      <c r="H71" s="237"/>
      <c r="I71" s="237"/>
      <c r="J71" s="333"/>
      <c r="L71" s="664" t="s">
        <v>122</v>
      </c>
      <c r="M71" s="661"/>
      <c r="N71" s="661"/>
      <c r="O71" s="661"/>
      <c r="P71" s="661"/>
      <c r="Q71" s="661"/>
      <c r="R71" s="661"/>
      <c r="S71" s="661"/>
      <c r="T71" s="665"/>
      <c r="V71" s="256"/>
      <c r="W71" s="236"/>
      <c r="X71" s="236"/>
      <c r="Y71" s="236"/>
      <c r="Z71" s="236"/>
      <c r="AA71" s="236"/>
      <c r="AB71" s="236"/>
      <c r="AC71" s="236"/>
      <c r="AD71" s="257"/>
      <c r="AF71" s="676" t="s">
        <v>1143</v>
      </c>
      <c r="AG71" s="677"/>
      <c r="AH71" s="677"/>
      <c r="AI71" s="677"/>
      <c r="AJ71" s="677"/>
      <c r="AK71" s="677"/>
      <c r="AL71" s="677"/>
      <c r="AM71" s="677"/>
      <c r="AN71" s="678"/>
    </row>
    <row r="72" spans="2:40" ht="16">
      <c r="B72" s="683" t="s">
        <v>1012</v>
      </c>
      <c r="C72" s="684"/>
      <c r="D72" s="684"/>
      <c r="E72" s="684"/>
      <c r="F72" s="684"/>
      <c r="G72" s="684"/>
      <c r="H72" s="684"/>
      <c r="I72" s="684"/>
      <c r="J72" s="685"/>
      <c r="L72" s="664" t="s">
        <v>123</v>
      </c>
      <c r="M72" s="661"/>
      <c r="N72" s="661"/>
      <c r="O72" s="661"/>
      <c r="P72" s="661"/>
      <c r="Q72" s="661"/>
      <c r="R72" s="661"/>
      <c r="S72" s="661"/>
      <c r="T72" s="665"/>
      <c r="V72" s="651" t="s">
        <v>982</v>
      </c>
      <c r="W72" s="652"/>
      <c r="X72" s="652"/>
      <c r="Y72" s="652"/>
      <c r="Z72" s="652"/>
      <c r="AA72" s="652"/>
      <c r="AB72" s="652"/>
      <c r="AC72" s="652"/>
      <c r="AD72" s="653"/>
      <c r="AF72" s="256"/>
      <c r="AG72" s="236"/>
      <c r="AH72" s="236"/>
      <c r="AI72" s="236"/>
      <c r="AJ72" s="236"/>
      <c r="AK72" s="236"/>
      <c r="AL72" s="236"/>
      <c r="AM72" s="236"/>
      <c r="AN72" s="257"/>
    </row>
    <row r="73" spans="2:40" ht="16.5" customHeight="1">
      <c r="B73" s="235" t="s">
        <v>1013</v>
      </c>
      <c r="C73" s="337"/>
      <c r="D73" s="337"/>
      <c r="E73" s="337"/>
      <c r="F73" s="337"/>
      <c r="G73" s="337"/>
      <c r="H73" s="337"/>
      <c r="I73" s="337"/>
      <c r="J73" s="338"/>
      <c r="L73" s="664" t="s">
        <v>124</v>
      </c>
      <c r="M73" s="661"/>
      <c r="N73" s="661"/>
      <c r="O73" s="661"/>
      <c r="P73" s="661"/>
      <c r="Q73" s="661"/>
      <c r="R73" s="661"/>
      <c r="S73" s="661"/>
      <c r="T73" s="665"/>
      <c r="V73" s="676" t="s">
        <v>983</v>
      </c>
      <c r="W73" s="677"/>
      <c r="X73" s="677"/>
      <c r="Y73" s="677"/>
      <c r="Z73" s="677"/>
      <c r="AA73" s="677"/>
      <c r="AB73" s="677"/>
      <c r="AC73" s="677"/>
      <c r="AD73" s="678"/>
      <c r="AF73" s="651" t="s">
        <v>982</v>
      </c>
      <c r="AG73" s="652"/>
      <c r="AH73" s="652"/>
      <c r="AI73" s="652"/>
      <c r="AJ73" s="652"/>
      <c r="AK73" s="652"/>
      <c r="AL73" s="652"/>
      <c r="AM73" s="652"/>
      <c r="AN73" s="653"/>
    </row>
    <row r="74" spans="2:40" ht="16.5" customHeight="1">
      <c r="B74" s="235" t="s">
        <v>1014</v>
      </c>
      <c r="C74" s="337"/>
      <c r="D74" s="337"/>
      <c r="E74" s="337"/>
      <c r="F74" s="337"/>
      <c r="G74" s="337"/>
      <c r="H74" s="337"/>
      <c r="I74" s="337"/>
      <c r="J74" s="338"/>
      <c r="L74" s="664" t="s">
        <v>125</v>
      </c>
      <c r="M74" s="661"/>
      <c r="N74" s="661"/>
      <c r="O74" s="661"/>
      <c r="P74" s="661"/>
      <c r="Q74" s="661"/>
      <c r="R74" s="661"/>
      <c r="S74" s="661"/>
      <c r="T74" s="665"/>
      <c r="V74" s="256" t="s">
        <v>984</v>
      </c>
      <c r="W74" s="236"/>
      <c r="X74" s="236"/>
      <c r="Y74" s="236"/>
      <c r="Z74" s="236"/>
      <c r="AA74" s="236"/>
      <c r="AB74" s="236"/>
      <c r="AC74" s="236"/>
      <c r="AD74" s="257"/>
      <c r="AF74" s="676" t="s">
        <v>983</v>
      </c>
      <c r="AG74" s="677"/>
      <c r="AH74" s="677"/>
      <c r="AI74" s="677"/>
      <c r="AJ74" s="677"/>
      <c r="AK74" s="677"/>
      <c r="AL74" s="677"/>
      <c r="AM74" s="677"/>
      <c r="AN74" s="678"/>
    </row>
    <row r="75" spans="2:40" ht="16">
      <c r="B75" s="235" t="s">
        <v>120</v>
      </c>
      <c r="C75" s="337"/>
      <c r="D75" s="337"/>
      <c r="E75" s="337"/>
      <c r="F75" s="337"/>
      <c r="G75" s="337"/>
      <c r="H75" s="337"/>
      <c r="I75" s="337"/>
      <c r="J75" s="338"/>
      <c r="L75" s="676" t="s">
        <v>1135</v>
      </c>
      <c r="M75" s="677"/>
      <c r="N75" s="677"/>
      <c r="O75" s="677"/>
      <c r="P75" s="677"/>
      <c r="Q75" s="677"/>
      <c r="R75" s="677"/>
      <c r="S75" s="677"/>
      <c r="T75" s="678"/>
      <c r="V75" s="256" t="s">
        <v>985</v>
      </c>
      <c r="W75" s="236"/>
      <c r="X75" s="236"/>
      <c r="Y75" s="236"/>
      <c r="Z75" s="236"/>
      <c r="AA75" s="236"/>
      <c r="AB75" s="236"/>
      <c r="AC75" s="236"/>
      <c r="AD75" s="257"/>
      <c r="AF75" s="256" t="s">
        <v>102</v>
      </c>
      <c r="AG75" s="236"/>
      <c r="AH75" s="236"/>
      <c r="AI75" s="236"/>
      <c r="AJ75" s="236"/>
      <c r="AK75" s="236"/>
      <c r="AL75" s="236"/>
      <c r="AM75" s="236"/>
      <c r="AN75" s="257"/>
    </row>
    <row r="76" spans="2:40" ht="16.5" customHeight="1">
      <c r="B76" s="235" t="s">
        <v>1011</v>
      </c>
      <c r="C76" s="337"/>
      <c r="D76" s="337"/>
      <c r="E76" s="337"/>
      <c r="F76" s="337"/>
      <c r="G76" s="337"/>
      <c r="H76" s="337"/>
      <c r="I76" s="337"/>
      <c r="J76" s="338"/>
      <c r="L76" s="683" t="s">
        <v>127</v>
      </c>
      <c r="M76" s="661"/>
      <c r="N76" s="661"/>
      <c r="O76" s="661"/>
      <c r="P76" s="661"/>
      <c r="Q76" s="661"/>
      <c r="R76" s="661"/>
      <c r="S76" s="661"/>
      <c r="T76" s="665"/>
      <c r="V76" s="256" t="s">
        <v>986</v>
      </c>
      <c r="W76" s="236"/>
      <c r="X76" s="236"/>
      <c r="Y76" s="236"/>
      <c r="Z76" s="236"/>
      <c r="AA76" s="236"/>
      <c r="AB76" s="236"/>
      <c r="AC76" s="236"/>
      <c r="AD76" s="257"/>
      <c r="AF76" s="256" t="s">
        <v>109</v>
      </c>
      <c r="AG76" s="236"/>
      <c r="AH76" s="236"/>
      <c r="AI76" s="236"/>
      <c r="AJ76" s="236"/>
      <c r="AK76" s="236"/>
      <c r="AL76" s="236"/>
      <c r="AM76" s="236"/>
      <c r="AN76" s="257"/>
    </row>
    <row r="77" spans="2:40" ht="16">
      <c r="B77" s="235"/>
      <c r="C77" s="337"/>
      <c r="D77" s="337"/>
      <c r="E77" s="337"/>
      <c r="F77" s="337"/>
      <c r="G77" s="337"/>
      <c r="H77" s="337"/>
      <c r="I77" s="337"/>
      <c r="J77" s="338"/>
      <c r="L77" s="224" t="s">
        <v>129</v>
      </c>
      <c r="T77" s="221"/>
      <c r="V77" s="256" t="s">
        <v>1119</v>
      </c>
      <c r="W77" s="236"/>
      <c r="X77" s="236"/>
      <c r="Y77" s="236"/>
      <c r="Z77" s="236"/>
      <c r="AA77" s="236"/>
      <c r="AB77" s="236"/>
      <c r="AC77" s="236"/>
      <c r="AD77" s="257"/>
      <c r="AF77" s="256" t="s">
        <v>986</v>
      </c>
      <c r="AG77" s="236"/>
      <c r="AH77" s="236"/>
      <c r="AI77" s="236"/>
      <c r="AJ77" s="236"/>
      <c r="AK77" s="236"/>
      <c r="AL77" s="236"/>
      <c r="AM77" s="236"/>
      <c r="AN77" s="257"/>
    </row>
    <row r="78" spans="2:40" ht="16">
      <c r="B78" s="680" t="s">
        <v>121</v>
      </c>
      <c r="C78" s="681"/>
      <c r="D78" s="681"/>
      <c r="E78" s="681"/>
      <c r="F78" s="681"/>
      <c r="G78" s="681"/>
      <c r="H78" s="681"/>
      <c r="I78" s="681"/>
      <c r="J78" s="682"/>
      <c r="L78" s="256" t="s">
        <v>1136</v>
      </c>
      <c r="T78" s="221"/>
      <c r="V78" s="256" t="s">
        <v>1120</v>
      </c>
      <c r="W78" s="236"/>
      <c r="X78" s="236"/>
      <c r="Y78" s="236"/>
      <c r="Z78" s="236"/>
      <c r="AA78" s="236"/>
      <c r="AB78" s="236"/>
      <c r="AC78" s="236"/>
      <c r="AD78" s="257"/>
      <c r="AF78" s="256" t="s">
        <v>1119</v>
      </c>
      <c r="AG78" s="236"/>
      <c r="AH78" s="236"/>
      <c r="AI78" s="236"/>
      <c r="AJ78" s="236"/>
      <c r="AK78" s="236"/>
      <c r="AL78" s="236"/>
      <c r="AM78" s="236"/>
      <c r="AN78" s="257"/>
    </row>
    <row r="79" spans="2:40" ht="16">
      <c r="B79" s="664" t="s">
        <v>126</v>
      </c>
      <c r="C79" s="661"/>
      <c r="D79" s="661"/>
      <c r="E79" s="661"/>
      <c r="F79" s="661"/>
      <c r="G79" s="661"/>
      <c r="H79" s="661"/>
      <c r="I79" s="661"/>
      <c r="J79" s="665"/>
      <c r="L79" s="224" t="s">
        <v>130</v>
      </c>
      <c r="T79" s="221"/>
      <c r="V79" s="256"/>
      <c r="W79" s="236"/>
      <c r="X79" s="236"/>
      <c r="Y79" s="236"/>
      <c r="Z79" s="236"/>
      <c r="AA79" s="236"/>
      <c r="AB79" s="236"/>
      <c r="AC79" s="236"/>
      <c r="AD79" s="257"/>
      <c r="AF79" s="256" t="s">
        <v>1120</v>
      </c>
      <c r="AG79" s="236"/>
      <c r="AH79" s="236"/>
      <c r="AI79" s="236"/>
      <c r="AJ79" s="236"/>
      <c r="AK79" s="236"/>
      <c r="AL79" s="236"/>
      <c r="AM79" s="236"/>
      <c r="AN79" s="257"/>
    </row>
    <row r="80" spans="2:40" ht="16">
      <c r="B80" s="664" t="s">
        <v>128</v>
      </c>
      <c r="C80" s="661"/>
      <c r="D80" s="661"/>
      <c r="E80" s="661"/>
      <c r="F80" s="661"/>
      <c r="G80" s="661"/>
      <c r="H80" s="661"/>
      <c r="I80" s="661"/>
      <c r="J80" s="665"/>
      <c r="L80" s="224"/>
      <c r="T80" s="221"/>
      <c r="V80" s="339" t="s">
        <v>1021</v>
      </c>
      <c r="W80" s="236"/>
      <c r="X80" s="236"/>
      <c r="Y80" s="236"/>
      <c r="Z80" s="236"/>
      <c r="AA80" s="236"/>
      <c r="AB80" s="236"/>
      <c r="AC80" s="236"/>
      <c r="AD80" s="257"/>
      <c r="AF80" s="256"/>
      <c r="AG80" s="236"/>
      <c r="AH80" s="236"/>
      <c r="AI80" s="236"/>
      <c r="AJ80" s="236"/>
      <c r="AK80" s="236"/>
      <c r="AL80" s="236"/>
      <c r="AM80" s="236"/>
      <c r="AN80" s="257"/>
    </row>
    <row r="81" spans="1:40" ht="16">
      <c r="B81" s="664" t="s">
        <v>124</v>
      </c>
      <c r="C81" s="661"/>
      <c r="D81" s="661"/>
      <c r="E81" s="661"/>
      <c r="F81" s="661"/>
      <c r="G81" s="661"/>
      <c r="H81" s="661"/>
      <c r="I81" s="661"/>
      <c r="J81" s="665"/>
      <c r="L81" s="680" t="s">
        <v>131</v>
      </c>
      <c r="M81" s="681"/>
      <c r="N81" s="681"/>
      <c r="O81" s="681"/>
      <c r="P81" s="681"/>
      <c r="Q81" s="681"/>
      <c r="R81" s="681"/>
      <c r="S81" s="681"/>
      <c r="T81" s="682"/>
      <c r="V81" s="256" t="s">
        <v>105</v>
      </c>
      <c r="W81" s="236"/>
      <c r="X81" s="236"/>
      <c r="Y81" s="236"/>
      <c r="Z81" s="236"/>
      <c r="AA81" s="236"/>
      <c r="AB81" s="236"/>
      <c r="AC81" s="236"/>
      <c r="AD81" s="257"/>
      <c r="AF81" s="339" t="s">
        <v>1021</v>
      </c>
      <c r="AG81" s="236"/>
      <c r="AH81" s="236"/>
      <c r="AI81" s="236"/>
      <c r="AJ81" s="236"/>
      <c r="AK81" s="236"/>
      <c r="AL81" s="236"/>
      <c r="AM81" s="236"/>
      <c r="AN81" s="257"/>
    </row>
    <row r="82" spans="1:40" ht="16">
      <c r="B82" s="664" t="s">
        <v>125</v>
      </c>
      <c r="C82" s="661"/>
      <c r="D82" s="661"/>
      <c r="E82" s="661"/>
      <c r="F82" s="661"/>
      <c r="G82" s="661"/>
      <c r="H82" s="661"/>
      <c r="I82" s="661"/>
      <c r="J82" s="665"/>
      <c r="L82" s="664" t="s">
        <v>133</v>
      </c>
      <c r="M82" s="661"/>
      <c r="N82" s="661"/>
      <c r="O82" s="661"/>
      <c r="P82" s="661"/>
      <c r="Q82" s="661"/>
      <c r="R82" s="661"/>
      <c r="S82" s="661"/>
      <c r="T82" s="665"/>
      <c r="V82" s="256" t="s">
        <v>107</v>
      </c>
      <c r="W82" s="236"/>
      <c r="X82" s="236"/>
      <c r="Y82" s="236"/>
      <c r="Z82" s="236"/>
      <c r="AA82" s="236"/>
      <c r="AB82" s="236"/>
      <c r="AC82" s="236"/>
      <c r="AD82" s="257"/>
      <c r="AF82" s="256" t="s">
        <v>105</v>
      </c>
      <c r="AG82" s="236"/>
      <c r="AH82" s="236"/>
      <c r="AI82" s="236"/>
      <c r="AJ82" s="236"/>
      <c r="AK82" s="236"/>
      <c r="AL82" s="236"/>
      <c r="AM82" s="236"/>
      <c r="AN82" s="257"/>
    </row>
    <row r="83" spans="1:40" ht="15" customHeight="1">
      <c r="B83" s="676" t="s">
        <v>1137</v>
      </c>
      <c r="C83" s="677"/>
      <c r="D83" s="677"/>
      <c r="E83" s="677"/>
      <c r="F83" s="677"/>
      <c r="G83" s="677"/>
      <c r="H83" s="677"/>
      <c r="I83" s="677"/>
      <c r="J83" s="678"/>
      <c r="L83" s="664" t="s">
        <v>134</v>
      </c>
      <c r="M83" s="661"/>
      <c r="N83" s="661"/>
      <c r="O83" s="661"/>
      <c r="P83" s="661"/>
      <c r="Q83" s="661"/>
      <c r="R83" s="661"/>
      <c r="S83" s="661"/>
      <c r="T83" s="665"/>
      <c r="V83" s="235" t="s">
        <v>108</v>
      </c>
      <c r="W83" s="237"/>
      <c r="X83" s="237"/>
      <c r="Y83" s="237"/>
      <c r="Z83" s="237"/>
      <c r="AA83" s="237"/>
      <c r="AB83" s="237"/>
      <c r="AC83" s="237"/>
      <c r="AD83" s="333"/>
      <c r="AF83" s="256" t="s">
        <v>107</v>
      </c>
      <c r="AG83" s="236"/>
      <c r="AH83" s="236"/>
      <c r="AI83" s="236"/>
      <c r="AJ83" s="236"/>
      <c r="AK83" s="236"/>
      <c r="AL83" s="236"/>
      <c r="AM83" s="236"/>
      <c r="AN83" s="257"/>
    </row>
    <row r="84" spans="1:40" ht="15" customHeight="1">
      <c r="B84" s="683" t="s">
        <v>132</v>
      </c>
      <c r="C84" s="684"/>
      <c r="D84" s="684"/>
      <c r="E84" s="684"/>
      <c r="F84" s="684"/>
      <c r="G84" s="684"/>
      <c r="H84" s="684"/>
      <c r="I84" s="684"/>
      <c r="J84" s="685"/>
      <c r="L84" s="683" t="s">
        <v>136</v>
      </c>
      <c r="M84" s="661"/>
      <c r="N84" s="661"/>
      <c r="O84" s="661"/>
      <c r="P84" s="661"/>
      <c r="Q84" s="661"/>
      <c r="R84" s="661"/>
      <c r="S84" s="661"/>
      <c r="T84" s="665"/>
      <c r="V84" s="235" t="s">
        <v>110</v>
      </c>
      <c r="W84" s="237"/>
      <c r="X84" s="237"/>
      <c r="Y84" s="237"/>
      <c r="Z84" s="237"/>
      <c r="AA84" s="237"/>
      <c r="AB84" s="237"/>
      <c r="AC84" s="237"/>
      <c r="AD84" s="333"/>
      <c r="AF84" s="235" t="s">
        <v>108</v>
      </c>
      <c r="AG84" s="237"/>
      <c r="AH84" s="237"/>
      <c r="AI84" s="237"/>
      <c r="AJ84" s="237"/>
      <c r="AK84" s="237"/>
      <c r="AL84" s="237"/>
      <c r="AM84" s="237"/>
      <c r="AN84" s="333"/>
    </row>
    <row r="85" spans="1:40" ht="15" customHeight="1">
      <c r="B85" s="336"/>
      <c r="C85" s="337"/>
      <c r="D85" s="337"/>
      <c r="E85" s="337"/>
      <c r="F85" s="337"/>
      <c r="G85" s="337"/>
      <c r="H85" s="337"/>
      <c r="I85" s="337"/>
      <c r="J85" s="338"/>
      <c r="L85" s="386" t="s">
        <v>1140</v>
      </c>
      <c r="T85" s="221"/>
      <c r="V85" s="235" t="s">
        <v>111</v>
      </c>
      <c r="W85" s="237"/>
      <c r="X85" s="237"/>
      <c r="Y85" s="237"/>
      <c r="Z85" s="237"/>
      <c r="AA85" s="237"/>
      <c r="AB85" s="237"/>
      <c r="AC85" s="237"/>
      <c r="AD85" s="333"/>
      <c r="AF85" s="235" t="s">
        <v>110</v>
      </c>
      <c r="AG85" s="237"/>
      <c r="AH85" s="237"/>
      <c r="AI85" s="237"/>
      <c r="AJ85" s="237"/>
      <c r="AK85" s="237"/>
      <c r="AL85" s="237"/>
      <c r="AM85" s="237"/>
      <c r="AN85" s="333"/>
    </row>
    <row r="86" spans="1:40" ht="15" customHeight="1">
      <c r="B86" s="680" t="s">
        <v>131</v>
      </c>
      <c r="C86" s="681"/>
      <c r="D86" s="681"/>
      <c r="E86" s="681"/>
      <c r="F86" s="681"/>
      <c r="G86" s="681"/>
      <c r="H86" s="681"/>
      <c r="I86" s="681"/>
      <c r="J86" s="682"/>
      <c r="L86" s="224" t="s">
        <v>138</v>
      </c>
      <c r="T86" s="221"/>
      <c r="V86" s="382" t="s">
        <v>1088</v>
      </c>
      <c r="W86" s="236"/>
      <c r="X86" s="236"/>
      <c r="Y86" s="236"/>
      <c r="Z86" s="236"/>
      <c r="AA86" s="359"/>
      <c r="AB86" s="359"/>
      <c r="AC86" s="237"/>
      <c r="AD86" s="333"/>
      <c r="AF86" s="235" t="s">
        <v>111</v>
      </c>
      <c r="AG86" s="237"/>
      <c r="AH86" s="237"/>
      <c r="AI86" s="237"/>
      <c r="AJ86" s="237"/>
      <c r="AK86" s="237"/>
      <c r="AL86" s="237"/>
      <c r="AM86" s="237"/>
      <c r="AN86" s="333"/>
    </row>
    <row r="87" spans="1:40" ht="15" customHeight="1">
      <c r="B87" s="664" t="s">
        <v>135</v>
      </c>
      <c r="C87" s="661"/>
      <c r="D87" s="661"/>
      <c r="E87" s="661"/>
      <c r="F87" s="661"/>
      <c r="G87" s="661"/>
      <c r="H87" s="661"/>
      <c r="I87" s="661"/>
      <c r="J87" s="665"/>
      <c r="L87" s="220"/>
      <c r="T87" s="221"/>
      <c r="V87" s="382" t="s">
        <v>1089</v>
      </c>
      <c r="W87" s="236"/>
      <c r="X87" s="236"/>
      <c r="Y87" s="236"/>
      <c r="Z87" s="236"/>
      <c r="AA87" s="359"/>
      <c r="AB87" s="359"/>
      <c r="AC87" s="237"/>
      <c r="AD87" s="333"/>
      <c r="AF87" s="382" t="s">
        <v>1088</v>
      </c>
      <c r="AG87" s="236"/>
      <c r="AH87" s="236"/>
      <c r="AI87" s="236"/>
      <c r="AJ87" s="236"/>
      <c r="AK87" s="359"/>
      <c r="AL87" s="359"/>
      <c r="AM87" s="237"/>
      <c r="AN87" s="333"/>
    </row>
    <row r="88" spans="1:40" ht="15" customHeight="1">
      <c r="B88" s="664" t="s">
        <v>137</v>
      </c>
      <c r="C88" s="661"/>
      <c r="D88" s="661"/>
      <c r="E88" s="661"/>
      <c r="F88" s="661"/>
      <c r="G88" s="661"/>
      <c r="H88" s="661"/>
      <c r="I88" s="661"/>
      <c r="J88" s="665"/>
      <c r="L88" s="715" t="s">
        <v>139</v>
      </c>
      <c r="M88" s="716"/>
      <c r="N88" s="716"/>
      <c r="O88" s="716"/>
      <c r="P88" s="716"/>
      <c r="Q88" s="716"/>
      <c r="R88" s="716"/>
      <c r="S88" s="716"/>
      <c r="T88" s="717"/>
      <c r="V88" s="382" t="s">
        <v>1090</v>
      </c>
      <c r="W88" s="236"/>
      <c r="X88" s="236"/>
      <c r="Y88" s="236"/>
      <c r="Z88" s="236"/>
      <c r="AA88" s="359"/>
      <c r="AB88" s="359"/>
      <c r="AC88" s="237"/>
      <c r="AD88" s="333"/>
      <c r="AF88" s="382" t="s">
        <v>1089</v>
      </c>
      <c r="AG88" s="236"/>
      <c r="AH88" s="236"/>
      <c r="AI88" s="236"/>
      <c r="AJ88" s="236"/>
      <c r="AK88" s="359"/>
      <c r="AL88" s="359"/>
      <c r="AM88" s="237"/>
      <c r="AN88" s="333"/>
    </row>
    <row r="89" spans="1:40" ht="15.75" customHeight="1">
      <c r="A89" s="216"/>
      <c r="B89" s="654" t="s">
        <v>1138</v>
      </c>
      <c r="C89" s="677"/>
      <c r="D89" s="677"/>
      <c r="E89" s="677"/>
      <c r="F89" s="677"/>
      <c r="G89" s="677"/>
      <c r="H89" s="677"/>
      <c r="I89" s="677"/>
      <c r="J89" s="678"/>
      <c r="K89" s="216"/>
      <c r="L89" s="347"/>
      <c r="M89" s="348"/>
      <c r="N89" s="348"/>
      <c r="O89" s="348"/>
      <c r="P89" s="348"/>
      <c r="Q89" s="348"/>
      <c r="R89" s="348"/>
      <c r="S89" s="348"/>
      <c r="T89" s="349"/>
      <c r="U89" s="216"/>
      <c r="V89" s="382" t="s">
        <v>1091</v>
      </c>
      <c r="W89" s="236"/>
      <c r="X89" s="236"/>
      <c r="Y89" s="236"/>
      <c r="Z89" s="236"/>
      <c r="AA89" s="359"/>
      <c r="AB89" s="359"/>
      <c r="AC89" s="237"/>
      <c r="AD89" s="333"/>
      <c r="AF89" s="382" t="s">
        <v>1090</v>
      </c>
      <c r="AG89" s="236"/>
      <c r="AH89" s="236"/>
      <c r="AI89" s="236"/>
      <c r="AJ89" s="236"/>
      <c r="AK89" s="359"/>
      <c r="AL89" s="359"/>
      <c r="AM89" s="237"/>
      <c r="AN89" s="333"/>
    </row>
    <row r="90" spans="1:40" ht="15.75" customHeight="1">
      <c r="A90" s="216"/>
      <c r="B90" s="256" t="s">
        <v>138</v>
      </c>
      <c r="J90" s="221"/>
      <c r="K90" s="216"/>
      <c r="L90" s="657">
        <f ca="1">TODAY()</f>
        <v>46132</v>
      </c>
      <c r="M90" s="658"/>
      <c r="N90" s="658"/>
      <c r="O90" s="658"/>
      <c r="P90" s="658"/>
      <c r="Q90" s="658"/>
      <c r="R90" s="658"/>
      <c r="S90" s="658"/>
      <c r="T90" s="659"/>
      <c r="U90" s="216"/>
      <c r="V90" s="256"/>
      <c r="W90" s="236"/>
      <c r="X90" s="236"/>
      <c r="Y90" s="236"/>
      <c r="Z90" s="236"/>
      <c r="AA90" s="237"/>
      <c r="AB90" s="237"/>
      <c r="AC90" s="237"/>
      <c r="AD90" s="333"/>
      <c r="AF90" s="382" t="s">
        <v>1091</v>
      </c>
      <c r="AG90" s="236"/>
      <c r="AH90" s="236"/>
      <c r="AI90" s="236"/>
      <c r="AJ90" s="236"/>
      <c r="AK90" s="359"/>
      <c r="AL90" s="359"/>
      <c r="AM90" s="237"/>
      <c r="AN90" s="333"/>
    </row>
    <row r="91" spans="1:40" ht="16">
      <c r="A91" s="216"/>
      <c r="B91" s="715" t="s">
        <v>139</v>
      </c>
      <c r="C91" s="716"/>
      <c r="D91" s="716"/>
      <c r="E91" s="716"/>
      <c r="F91" s="716"/>
      <c r="G91" s="716"/>
      <c r="H91" s="716"/>
      <c r="I91" s="716"/>
      <c r="J91" s="717"/>
      <c r="K91" s="216"/>
      <c r="L91" s="342"/>
      <c r="M91" s="343"/>
      <c r="N91" s="343"/>
      <c r="O91" s="343"/>
      <c r="P91" s="343"/>
      <c r="Q91" s="343"/>
      <c r="R91" s="343"/>
      <c r="S91" s="343"/>
      <c r="T91" s="344"/>
      <c r="U91" s="216"/>
      <c r="V91" s="339" t="s">
        <v>1144</v>
      </c>
      <c r="W91" s="236"/>
      <c r="X91" s="236"/>
      <c r="Y91" s="236"/>
      <c r="Z91" s="236"/>
      <c r="AA91" s="237"/>
      <c r="AB91" s="237"/>
      <c r="AC91" s="237"/>
      <c r="AD91" s="333"/>
      <c r="AF91" s="256"/>
      <c r="AG91" s="236"/>
      <c r="AH91" s="236"/>
      <c r="AI91" s="236"/>
      <c r="AJ91" s="236"/>
      <c r="AK91" s="237"/>
      <c r="AL91" s="237"/>
      <c r="AM91" s="237"/>
      <c r="AN91" s="333"/>
    </row>
    <row r="92" spans="1:40" ht="16.5" customHeight="1">
      <c r="B92" s="220"/>
      <c r="J92" s="221"/>
      <c r="L92" s="258" t="s">
        <v>140</v>
      </c>
      <c r="M92" s="259" t="s">
        <v>141</v>
      </c>
      <c r="O92" s="260" t="s">
        <v>142</v>
      </c>
      <c r="P92" s="660" t="str">
        <f>O12</f>
        <v>○○○○○(기관명)</v>
      </c>
      <c r="Q92" s="660"/>
      <c r="R92" s="345"/>
      <c r="S92" s="261" t="str">
        <f>S12</f>
        <v>○○○</v>
      </c>
      <c r="T92" s="262" t="s">
        <v>143</v>
      </c>
      <c r="V92" s="256" t="s">
        <v>987</v>
      </c>
      <c r="W92" s="236"/>
      <c r="X92" s="236"/>
      <c r="Y92" s="236"/>
      <c r="Z92" s="236"/>
      <c r="AA92" s="237"/>
      <c r="AB92" s="237"/>
      <c r="AC92" s="237"/>
      <c r="AD92" s="333"/>
      <c r="AF92" s="339" t="s">
        <v>1144</v>
      </c>
      <c r="AG92" s="236"/>
      <c r="AH92" s="236"/>
      <c r="AI92" s="236"/>
      <c r="AJ92" s="236"/>
      <c r="AK92" s="237"/>
      <c r="AL92" s="237"/>
      <c r="AM92" s="237"/>
      <c r="AN92" s="333"/>
    </row>
    <row r="93" spans="1:40" ht="16">
      <c r="B93" s="657">
        <f ca="1">TODAY()</f>
        <v>46132</v>
      </c>
      <c r="C93" s="658"/>
      <c r="D93" s="658"/>
      <c r="E93" s="658"/>
      <c r="F93" s="658"/>
      <c r="G93" s="658"/>
      <c r="H93" s="658"/>
      <c r="I93" s="658"/>
      <c r="J93" s="659"/>
      <c r="L93" s="258" t="s">
        <v>144</v>
      </c>
      <c r="M93" s="259" t="s">
        <v>78</v>
      </c>
      <c r="O93" s="260" t="s">
        <v>142</v>
      </c>
      <c r="P93" s="660" t="str">
        <f>O14</f>
        <v>○○○○○</v>
      </c>
      <c r="Q93" s="660"/>
      <c r="R93" s="345"/>
      <c r="S93" s="261" t="str">
        <f>S7</f>
        <v>○○○</v>
      </c>
      <c r="T93" s="262" t="s">
        <v>145</v>
      </c>
      <c r="V93" s="256" t="s">
        <v>113</v>
      </c>
      <c r="W93" s="236"/>
      <c r="X93" s="236"/>
      <c r="Y93" s="236"/>
      <c r="Z93" s="236"/>
      <c r="AA93" s="237"/>
      <c r="AB93" s="237"/>
      <c r="AC93" s="237"/>
      <c r="AD93" s="333"/>
      <c r="AF93" s="256" t="s">
        <v>987</v>
      </c>
      <c r="AG93" s="236"/>
      <c r="AH93" s="236"/>
      <c r="AI93" s="236"/>
      <c r="AJ93" s="236"/>
      <c r="AK93" s="237"/>
      <c r="AL93" s="237"/>
      <c r="AM93" s="237"/>
      <c r="AN93" s="333"/>
    </row>
    <row r="94" spans="1:40" ht="16">
      <c r="B94" s="220"/>
      <c r="J94" s="221"/>
      <c r="L94" s="258" t="s">
        <v>146</v>
      </c>
      <c r="M94" s="383" t="s">
        <v>1100</v>
      </c>
      <c r="O94" s="260" t="s">
        <v>142</v>
      </c>
      <c r="P94" s="660" t="str">
        <f>O16</f>
        <v>○○○○○(기관명)</v>
      </c>
      <c r="Q94" s="660"/>
      <c r="R94" s="345"/>
      <c r="S94" s="261" t="str">
        <f>M8</f>
        <v>○○○</v>
      </c>
      <c r="T94" s="262" t="s">
        <v>145</v>
      </c>
      <c r="V94" s="256" t="s">
        <v>114</v>
      </c>
      <c r="W94" s="236"/>
      <c r="X94" s="236"/>
      <c r="Y94" s="236"/>
      <c r="Z94" s="236"/>
      <c r="AA94" s="237"/>
      <c r="AB94" s="237"/>
      <c r="AC94" s="237"/>
      <c r="AD94" s="333"/>
      <c r="AF94" s="256" t="s">
        <v>113</v>
      </c>
      <c r="AG94" s="236"/>
      <c r="AH94" s="236"/>
      <c r="AI94" s="236"/>
      <c r="AJ94" s="236"/>
      <c r="AK94" s="237"/>
      <c r="AL94" s="237"/>
      <c r="AM94" s="237"/>
      <c r="AN94" s="333"/>
    </row>
    <row r="95" spans="1:40" ht="16">
      <c r="B95" s="258" t="s">
        <v>140</v>
      </c>
      <c r="C95" s="259" t="s">
        <v>141</v>
      </c>
      <c r="E95" s="260" t="s">
        <v>142</v>
      </c>
      <c r="F95" s="660" t="str">
        <f>E12</f>
        <v>○○○○○(기관명)</v>
      </c>
      <c r="G95" s="660"/>
      <c r="H95" s="345"/>
      <c r="I95" s="261" t="str">
        <f>I12</f>
        <v>○○○</v>
      </c>
      <c r="J95" s="262" t="s">
        <v>143</v>
      </c>
      <c r="L95" s="385" t="s">
        <v>1139</v>
      </c>
      <c r="M95" s="384"/>
      <c r="N95" s="264"/>
      <c r="O95" s="265"/>
      <c r="P95" s="265"/>
      <c r="Q95" s="264"/>
      <c r="R95" s="263"/>
      <c r="S95" s="261" t="str">
        <f>M8</f>
        <v>○○○</v>
      </c>
      <c r="T95" s="266" t="s">
        <v>145</v>
      </c>
      <c r="V95" s="256" t="s">
        <v>115</v>
      </c>
      <c r="W95" s="236"/>
      <c r="X95" s="236"/>
      <c r="Y95" s="236"/>
      <c r="Z95" s="236"/>
      <c r="AA95" s="237"/>
      <c r="AB95" s="237"/>
      <c r="AC95" s="237"/>
      <c r="AD95" s="333"/>
      <c r="AF95" s="256" t="s">
        <v>114</v>
      </c>
      <c r="AG95" s="236"/>
      <c r="AH95" s="236"/>
      <c r="AI95" s="236"/>
      <c r="AJ95" s="236"/>
      <c r="AK95" s="237"/>
      <c r="AL95" s="237"/>
      <c r="AM95" s="237"/>
      <c r="AN95" s="333"/>
    </row>
    <row r="96" spans="1:40" ht="16">
      <c r="B96" s="258" t="s">
        <v>144</v>
      </c>
      <c r="C96" s="259" t="s">
        <v>78</v>
      </c>
      <c r="E96" s="260" t="s">
        <v>142</v>
      </c>
      <c r="F96" s="660" t="str">
        <f>E14</f>
        <v>○○○○○</v>
      </c>
      <c r="G96" s="660"/>
      <c r="H96" s="345"/>
      <c r="I96" s="261" t="str">
        <f>I7</f>
        <v>○○○</v>
      </c>
      <c r="J96" s="262" t="s">
        <v>145</v>
      </c>
      <c r="L96" s="242"/>
      <c r="M96" s="216"/>
      <c r="N96" s="260"/>
      <c r="O96" s="259"/>
      <c r="P96" s="259"/>
      <c r="Q96" s="260"/>
      <c r="R96" s="216"/>
      <c r="S96" s="267"/>
      <c r="T96" s="260"/>
      <c r="V96" s="256" t="s">
        <v>1007</v>
      </c>
      <c r="W96" s="236"/>
      <c r="X96" s="236"/>
      <c r="Y96" s="236"/>
      <c r="Z96" s="236"/>
      <c r="AA96" s="237"/>
      <c r="AB96" s="237"/>
      <c r="AC96" s="237"/>
      <c r="AD96" s="333"/>
      <c r="AF96" s="256" t="s">
        <v>115</v>
      </c>
      <c r="AG96" s="236"/>
      <c r="AH96" s="236"/>
      <c r="AI96" s="236"/>
      <c r="AJ96" s="236"/>
      <c r="AK96" s="237"/>
      <c r="AL96" s="237"/>
      <c r="AM96" s="237"/>
      <c r="AN96" s="333"/>
    </row>
    <row r="97" spans="2:40" ht="16">
      <c r="B97" s="258" t="s">
        <v>146</v>
      </c>
      <c r="C97" s="383" t="s">
        <v>1100</v>
      </c>
      <c r="E97" s="260" t="s">
        <v>142</v>
      </c>
      <c r="F97" s="660" t="str">
        <f>E16</f>
        <v>○○○○○(기관명)</v>
      </c>
      <c r="G97" s="660"/>
      <c r="H97" s="345"/>
      <c r="I97" s="261" t="str">
        <f>C8</f>
        <v>○○○</v>
      </c>
      <c r="J97" s="262" t="s">
        <v>145</v>
      </c>
      <c r="L97" s="216"/>
      <c r="M97" s="216"/>
      <c r="N97" s="216"/>
      <c r="O97" s="216"/>
      <c r="P97" s="216"/>
      <c r="Q97" s="216"/>
      <c r="R97" s="216"/>
      <c r="S97" s="216"/>
      <c r="T97" s="216"/>
      <c r="V97" s="256" t="s">
        <v>1015</v>
      </c>
      <c r="W97" s="236"/>
      <c r="X97" s="236"/>
      <c r="Y97" s="236"/>
      <c r="Z97" s="236"/>
      <c r="AA97" s="237"/>
      <c r="AB97" s="237"/>
      <c r="AC97" s="237"/>
      <c r="AD97" s="333"/>
      <c r="AF97" s="256" t="s">
        <v>1005</v>
      </c>
      <c r="AG97" s="236"/>
      <c r="AH97" s="236"/>
      <c r="AI97" s="236"/>
      <c r="AJ97" s="236"/>
      <c r="AK97" s="237"/>
      <c r="AL97" s="237"/>
      <c r="AM97" s="237"/>
      <c r="AN97" s="333"/>
    </row>
    <row r="98" spans="2:40" ht="26.25" customHeight="1">
      <c r="B98" s="649" t="s">
        <v>1139</v>
      </c>
      <c r="C98" s="650"/>
      <c r="D98" s="650"/>
      <c r="E98" s="650"/>
      <c r="F98" s="650"/>
      <c r="G98" s="650"/>
      <c r="H98" s="650"/>
      <c r="I98" s="261" t="str">
        <f>C8</f>
        <v>○○○</v>
      </c>
      <c r="J98" s="266" t="s">
        <v>145</v>
      </c>
      <c r="L98" s="216"/>
      <c r="M98" s="216"/>
      <c r="N98" s="216"/>
      <c r="O98" s="216"/>
      <c r="P98" s="216"/>
      <c r="Q98" s="216"/>
      <c r="R98" s="216"/>
      <c r="S98" s="216"/>
      <c r="T98" s="216"/>
      <c r="V98" s="256" t="s">
        <v>1145</v>
      </c>
      <c r="W98" s="236"/>
      <c r="X98" s="236"/>
      <c r="Y98" s="236"/>
      <c r="Z98" s="236"/>
      <c r="AA98" s="359"/>
      <c r="AB98" s="359"/>
      <c r="AC98" s="359"/>
      <c r="AD98" s="360"/>
      <c r="AF98" s="256" t="s">
        <v>1006</v>
      </c>
      <c r="AG98" s="236"/>
      <c r="AH98" s="236"/>
      <c r="AI98" s="236"/>
      <c r="AJ98" s="236"/>
      <c r="AK98" s="237"/>
      <c r="AL98" s="237"/>
      <c r="AM98" s="237"/>
      <c r="AN98" s="333"/>
    </row>
    <row r="99" spans="2:40" ht="16">
      <c r="B99" s="242"/>
      <c r="C99" s="216"/>
      <c r="D99" s="260"/>
      <c r="E99" s="259"/>
      <c r="F99" s="259"/>
      <c r="G99" s="260"/>
      <c r="H99" s="216"/>
      <c r="I99" s="267"/>
      <c r="J99" s="260"/>
      <c r="L99" s="216"/>
      <c r="M99" s="216"/>
      <c r="N99" s="216"/>
      <c r="O99" s="216"/>
      <c r="P99" s="216"/>
      <c r="Q99" s="216"/>
      <c r="R99" s="216"/>
      <c r="S99" s="216"/>
      <c r="T99" s="216"/>
      <c r="V99" s="256" t="s">
        <v>988</v>
      </c>
      <c r="W99" s="236"/>
      <c r="X99" s="236"/>
      <c r="Y99" s="236"/>
      <c r="Z99" s="236"/>
      <c r="AA99" s="237"/>
      <c r="AB99" s="237"/>
      <c r="AC99" s="237"/>
      <c r="AD99" s="333"/>
      <c r="AF99" s="256" t="s">
        <v>1145</v>
      </c>
      <c r="AG99" s="236"/>
      <c r="AH99" s="236"/>
      <c r="AI99" s="236"/>
      <c r="AJ99" s="236"/>
      <c r="AK99" s="359"/>
      <c r="AL99" s="359"/>
      <c r="AM99" s="359"/>
      <c r="AN99" s="360"/>
    </row>
    <row r="100" spans="2:40" ht="16">
      <c r="B100" s="216"/>
      <c r="C100" s="216"/>
      <c r="D100" s="216"/>
      <c r="E100" s="216"/>
      <c r="F100" s="216"/>
      <c r="G100" s="216"/>
      <c r="H100" s="216"/>
      <c r="I100" s="216"/>
      <c r="J100" s="216"/>
      <c r="V100" s="256" t="s">
        <v>1032</v>
      </c>
      <c r="W100" s="236"/>
      <c r="X100" s="236"/>
      <c r="Y100" s="236"/>
      <c r="Z100" s="236"/>
      <c r="AA100" s="237"/>
      <c r="AB100" s="237"/>
      <c r="AC100" s="237"/>
      <c r="AD100" s="333"/>
      <c r="AF100" s="256" t="s">
        <v>988</v>
      </c>
      <c r="AG100" s="236"/>
      <c r="AH100" s="236"/>
      <c r="AI100" s="236"/>
      <c r="AJ100" s="236"/>
      <c r="AK100" s="237"/>
      <c r="AL100" s="237"/>
      <c r="AM100" s="237"/>
      <c r="AN100" s="333"/>
    </row>
    <row r="101" spans="2:40" ht="16">
      <c r="B101" s="216"/>
      <c r="C101" s="216"/>
      <c r="D101" s="216"/>
      <c r="E101" s="216"/>
      <c r="F101" s="216"/>
      <c r="G101" s="216"/>
      <c r="H101" s="216"/>
      <c r="I101" s="216"/>
      <c r="J101" s="216"/>
      <c r="V101" s="235" t="s">
        <v>118</v>
      </c>
      <c r="W101" s="237"/>
      <c r="X101" s="237"/>
      <c r="Y101" s="237"/>
      <c r="Z101" s="237"/>
      <c r="AA101" s="237"/>
      <c r="AB101" s="237"/>
      <c r="AC101" s="237"/>
      <c r="AD101" s="333"/>
      <c r="AF101" s="256" t="s">
        <v>1032</v>
      </c>
      <c r="AG101" s="236"/>
      <c r="AH101" s="236"/>
      <c r="AI101" s="236"/>
      <c r="AJ101" s="236"/>
      <c r="AK101" s="237"/>
      <c r="AL101" s="237"/>
      <c r="AM101" s="237"/>
      <c r="AN101" s="333"/>
    </row>
    <row r="102" spans="2:40" ht="16">
      <c r="B102" s="216"/>
      <c r="C102" s="216"/>
      <c r="D102" s="216"/>
      <c r="E102" s="216"/>
      <c r="F102" s="216"/>
      <c r="G102" s="216"/>
      <c r="H102" s="216"/>
      <c r="I102" s="216"/>
      <c r="J102" s="216"/>
      <c r="V102" s="235" t="s">
        <v>119</v>
      </c>
      <c r="W102" s="237"/>
      <c r="X102" s="237"/>
      <c r="Y102" s="237"/>
      <c r="Z102" s="237"/>
      <c r="AA102" s="237"/>
      <c r="AB102" s="237"/>
      <c r="AC102" s="237"/>
      <c r="AD102" s="333"/>
      <c r="AF102" s="235" t="s">
        <v>118</v>
      </c>
      <c r="AG102" s="237"/>
      <c r="AH102" s="237"/>
      <c r="AI102" s="237"/>
      <c r="AJ102" s="237"/>
      <c r="AK102" s="237"/>
      <c r="AL102" s="237"/>
      <c r="AM102" s="237"/>
      <c r="AN102" s="333"/>
    </row>
    <row r="103" spans="2:40" ht="16.5" customHeight="1">
      <c r="B103" s="502" t="s">
        <v>1418</v>
      </c>
      <c r="C103" s="216"/>
      <c r="D103" s="216"/>
      <c r="E103" s="216"/>
      <c r="F103" s="216"/>
      <c r="G103" s="216"/>
      <c r="H103" s="216"/>
      <c r="I103" s="216"/>
      <c r="J103" s="216"/>
      <c r="V103" s="683" t="s">
        <v>1016</v>
      </c>
      <c r="W103" s="684"/>
      <c r="X103" s="684"/>
      <c r="Y103" s="684"/>
      <c r="Z103" s="684"/>
      <c r="AA103" s="684"/>
      <c r="AB103" s="684"/>
      <c r="AC103" s="684"/>
      <c r="AD103" s="685"/>
      <c r="AF103" s="235" t="s">
        <v>119</v>
      </c>
      <c r="AG103" s="237"/>
      <c r="AH103" s="237"/>
      <c r="AI103" s="237"/>
      <c r="AJ103" s="237"/>
      <c r="AK103" s="237"/>
      <c r="AL103" s="237"/>
      <c r="AM103" s="237"/>
      <c r="AN103" s="333"/>
    </row>
    <row r="104" spans="2:40" ht="16">
      <c r="B104" s="217"/>
      <c r="C104" s="218"/>
      <c r="D104" s="218"/>
      <c r="E104" s="218"/>
      <c r="F104" s="218"/>
      <c r="G104" s="218"/>
      <c r="H104" s="218"/>
      <c r="I104" s="218"/>
      <c r="J104" s="219"/>
      <c r="V104" s="235" t="s">
        <v>1194</v>
      </c>
      <c r="W104" s="337"/>
      <c r="X104" s="337"/>
      <c r="Y104" s="337"/>
      <c r="Z104" s="337"/>
      <c r="AA104" s="337"/>
      <c r="AB104" s="337"/>
      <c r="AC104" s="337"/>
      <c r="AD104" s="338"/>
      <c r="AF104" s="683" t="s">
        <v>1008</v>
      </c>
      <c r="AG104" s="684"/>
      <c r="AH104" s="684"/>
      <c r="AI104" s="684"/>
      <c r="AJ104" s="684"/>
      <c r="AK104" s="684"/>
      <c r="AL104" s="684"/>
      <c r="AM104" s="684"/>
      <c r="AN104" s="685"/>
    </row>
    <row r="105" spans="2:40" ht="16">
      <c r="B105" s="700" t="s">
        <v>1156</v>
      </c>
      <c r="C105" s="701"/>
      <c r="D105" s="701"/>
      <c r="E105" s="701"/>
      <c r="F105" s="701"/>
      <c r="G105" s="701"/>
      <c r="H105" s="701"/>
      <c r="I105" s="701"/>
      <c r="J105" s="702"/>
      <c r="V105" s="235" t="s">
        <v>1014</v>
      </c>
      <c r="W105" s="337"/>
      <c r="X105" s="337"/>
      <c r="Y105" s="337"/>
      <c r="Z105" s="337"/>
      <c r="AA105" s="337"/>
      <c r="AB105" s="337"/>
      <c r="AC105" s="337"/>
      <c r="AD105" s="338"/>
      <c r="AF105" s="235" t="s">
        <v>1194</v>
      </c>
      <c r="AG105" s="337"/>
      <c r="AH105" s="337"/>
      <c r="AI105" s="337"/>
      <c r="AJ105" s="337"/>
      <c r="AK105" s="337"/>
      <c r="AL105" s="337"/>
      <c r="AM105" s="337"/>
      <c r="AN105" s="338"/>
    </row>
    <row r="106" spans="2:40" ht="16">
      <c r="B106" s="700"/>
      <c r="C106" s="701"/>
      <c r="D106" s="701"/>
      <c r="E106" s="701"/>
      <c r="F106" s="701"/>
      <c r="G106" s="701"/>
      <c r="H106" s="701"/>
      <c r="I106" s="701"/>
      <c r="J106" s="702"/>
      <c r="V106" s="235" t="s">
        <v>120</v>
      </c>
      <c r="W106" s="337"/>
      <c r="X106" s="337"/>
      <c r="Y106" s="337"/>
      <c r="Z106" s="337"/>
      <c r="AA106" s="337"/>
      <c r="AB106" s="337"/>
      <c r="AC106" s="337"/>
      <c r="AD106" s="338"/>
      <c r="AF106" s="235" t="s">
        <v>1010</v>
      </c>
      <c r="AG106" s="337"/>
      <c r="AH106" s="337"/>
      <c r="AI106" s="337"/>
      <c r="AJ106" s="337"/>
      <c r="AK106" s="337"/>
      <c r="AL106" s="337"/>
      <c r="AM106" s="337"/>
      <c r="AN106" s="338"/>
    </row>
    <row r="107" spans="2:40" ht="16.5" customHeight="1">
      <c r="B107" s="220"/>
      <c r="J107" s="221"/>
      <c r="V107" s="235" t="s">
        <v>1195</v>
      </c>
      <c r="W107" s="337"/>
      <c r="X107" s="337"/>
      <c r="Y107" s="337"/>
      <c r="Z107" s="337"/>
      <c r="AA107" s="337"/>
      <c r="AB107" s="337"/>
      <c r="AC107" s="337"/>
      <c r="AD107" s="338"/>
      <c r="AF107" s="235" t="s">
        <v>120</v>
      </c>
      <c r="AG107" s="337"/>
      <c r="AH107" s="337"/>
      <c r="AI107" s="337"/>
      <c r="AJ107" s="337"/>
      <c r="AK107" s="337"/>
      <c r="AL107" s="337"/>
      <c r="AM107" s="337"/>
      <c r="AN107" s="338"/>
    </row>
    <row r="108" spans="2:40" ht="16">
      <c r="B108" s="220" t="s">
        <v>48</v>
      </c>
      <c r="C108" s="692" t="s">
        <v>1162</v>
      </c>
      <c r="D108" s="692"/>
      <c r="E108" s="692"/>
      <c r="F108" s="216" t="s">
        <v>1157</v>
      </c>
      <c r="G108" s="215"/>
      <c r="H108" s="215"/>
      <c r="I108" s="223"/>
      <c r="J108" s="222"/>
      <c r="V108" s="235"/>
      <c r="W108" s="337"/>
      <c r="X108" s="337"/>
      <c r="Y108" s="337"/>
      <c r="Z108" s="337"/>
      <c r="AA108" s="337"/>
      <c r="AB108" s="337"/>
      <c r="AC108" s="337"/>
      <c r="AD108" s="338"/>
      <c r="AF108" s="235" t="s">
        <v>1195</v>
      </c>
      <c r="AG108" s="337"/>
      <c r="AH108" s="337"/>
      <c r="AI108" s="337"/>
      <c r="AJ108" s="337"/>
      <c r="AK108" s="337"/>
      <c r="AL108" s="337"/>
      <c r="AM108" s="337"/>
      <c r="AN108" s="338"/>
    </row>
    <row r="109" spans="2:40" ht="16">
      <c r="B109" s="728" t="s">
        <v>1163</v>
      </c>
      <c r="C109" s="692"/>
      <c r="D109" s="692"/>
      <c r="E109" s="704" t="s">
        <v>1159</v>
      </c>
      <c r="F109" s="704"/>
      <c r="G109" s="704"/>
      <c r="H109" s="704"/>
      <c r="I109" s="704"/>
      <c r="J109" s="705"/>
      <c r="V109" s="680" t="s">
        <v>989</v>
      </c>
      <c r="W109" s="681"/>
      <c r="X109" s="681"/>
      <c r="Y109" s="681"/>
      <c r="Z109" s="681"/>
      <c r="AA109" s="681"/>
      <c r="AB109" s="681"/>
      <c r="AC109" s="681"/>
      <c r="AD109" s="682"/>
      <c r="AF109" s="235"/>
      <c r="AG109" s="337"/>
      <c r="AH109" s="337"/>
      <c r="AI109" s="337"/>
      <c r="AJ109" s="337"/>
      <c r="AK109" s="337"/>
      <c r="AL109" s="337"/>
      <c r="AM109" s="337"/>
      <c r="AN109" s="338"/>
    </row>
    <row r="110" spans="2:40" ht="16">
      <c r="B110" s="703" t="s">
        <v>1158</v>
      </c>
      <c r="C110" s="704"/>
      <c r="D110" s="704"/>
      <c r="E110" s="704"/>
      <c r="F110" s="704"/>
      <c r="G110" s="704"/>
      <c r="H110" s="704"/>
      <c r="I110" s="704"/>
      <c r="J110" s="705"/>
      <c r="V110" s="664" t="s">
        <v>126</v>
      </c>
      <c r="W110" s="661"/>
      <c r="X110" s="661"/>
      <c r="Y110" s="661"/>
      <c r="Z110" s="661"/>
      <c r="AA110" s="661"/>
      <c r="AB110" s="661"/>
      <c r="AC110" s="661"/>
      <c r="AD110" s="665"/>
      <c r="AF110" s="680" t="s">
        <v>989</v>
      </c>
      <c r="AG110" s="681"/>
      <c r="AH110" s="681"/>
      <c r="AI110" s="681"/>
      <c r="AJ110" s="681"/>
      <c r="AK110" s="681"/>
      <c r="AL110" s="681"/>
      <c r="AM110" s="681"/>
      <c r="AN110" s="682"/>
    </row>
    <row r="111" spans="2:40" ht="16">
      <c r="B111" s="226"/>
      <c r="C111" s="215"/>
      <c r="D111" s="215"/>
      <c r="E111" s="215"/>
      <c r="F111" s="215"/>
      <c r="G111" s="215"/>
      <c r="H111" s="215"/>
      <c r="I111" s="215"/>
      <c r="J111" s="222"/>
      <c r="V111" s="664" t="s">
        <v>990</v>
      </c>
      <c r="W111" s="661"/>
      <c r="X111" s="661"/>
      <c r="Y111" s="661"/>
      <c r="Z111" s="661"/>
      <c r="AA111" s="661"/>
      <c r="AB111" s="661"/>
      <c r="AC111" s="661"/>
      <c r="AD111" s="665"/>
      <c r="AF111" s="664" t="s">
        <v>126</v>
      </c>
      <c r="AG111" s="661"/>
      <c r="AH111" s="661"/>
      <c r="AI111" s="661"/>
      <c r="AJ111" s="661"/>
      <c r="AK111" s="661"/>
      <c r="AL111" s="661"/>
      <c r="AM111" s="661"/>
      <c r="AN111" s="665"/>
    </row>
    <row r="112" spans="2:40" ht="16">
      <c r="B112" s="689" t="s">
        <v>1168</v>
      </c>
      <c r="C112" s="690"/>
      <c r="D112" s="690"/>
      <c r="E112" s="690"/>
      <c r="F112" s="690"/>
      <c r="G112" s="690"/>
      <c r="H112" s="690"/>
      <c r="I112" s="690"/>
      <c r="J112" s="691"/>
      <c r="V112" s="664" t="s">
        <v>991</v>
      </c>
      <c r="W112" s="661"/>
      <c r="X112" s="661"/>
      <c r="Y112" s="661"/>
      <c r="Z112" s="661"/>
      <c r="AA112" s="661"/>
      <c r="AB112" s="661"/>
      <c r="AC112" s="661"/>
      <c r="AD112" s="665"/>
      <c r="AF112" s="664" t="s">
        <v>990</v>
      </c>
      <c r="AG112" s="661"/>
      <c r="AH112" s="661"/>
      <c r="AI112" s="661"/>
      <c r="AJ112" s="661"/>
      <c r="AK112" s="661"/>
      <c r="AL112" s="661"/>
      <c r="AM112" s="661"/>
      <c r="AN112" s="665"/>
    </row>
    <row r="113" spans="2:40" ht="16">
      <c r="B113" s="695" t="s">
        <v>1160</v>
      </c>
      <c r="C113" s="696" t="s">
        <v>58</v>
      </c>
      <c r="D113" s="696"/>
      <c r="E113" s="697" t="str">
        <f>C108</f>
        <v>○○○○○(기관명1)</v>
      </c>
      <c r="F113" s="697"/>
      <c r="G113" s="697"/>
      <c r="H113" s="355" t="s">
        <v>59</v>
      </c>
      <c r="I113" s="356" t="s">
        <v>51</v>
      </c>
      <c r="J113" s="221"/>
      <c r="V113" s="664" t="s">
        <v>992</v>
      </c>
      <c r="W113" s="661"/>
      <c r="X113" s="661"/>
      <c r="Y113" s="661"/>
      <c r="Z113" s="661"/>
      <c r="AA113" s="661"/>
      <c r="AB113" s="661"/>
      <c r="AC113" s="661"/>
      <c r="AD113" s="665"/>
      <c r="AF113" s="664" t="s">
        <v>991</v>
      </c>
      <c r="AG113" s="661"/>
      <c r="AH113" s="661"/>
      <c r="AI113" s="661"/>
      <c r="AJ113" s="661"/>
      <c r="AK113" s="661"/>
      <c r="AL113" s="661"/>
      <c r="AM113" s="661"/>
      <c r="AN113" s="665"/>
    </row>
    <row r="114" spans="2:40" ht="16">
      <c r="B114" s="695"/>
      <c r="C114" s="696" t="s">
        <v>61</v>
      </c>
      <c r="D114" s="696"/>
      <c r="E114" s="697"/>
      <c r="F114" s="697"/>
      <c r="G114" s="697"/>
      <c r="H114" s="697"/>
      <c r="I114" s="697"/>
      <c r="J114" s="221"/>
      <c r="V114" s="676" t="s">
        <v>1146</v>
      </c>
      <c r="W114" s="677"/>
      <c r="X114" s="677"/>
      <c r="Y114" s="677"/>
      <c r="Z114" s="677"/>
      <c r="AA114" s="677"/>
      <c r="AB114" s="677"/>
      <c r="AC114" s="677"/>
      <c r="AD114" s="678"/>
      <c r="AF114" s="664" t="s">
        <v>992</v>
      </c>
      <c r="AG114" s="661"/>
      <c r="AH114" s="661"/>
      <c r="AI114" s="661"/>
      <c r="AJ114" s="661"/>
      <c r="AK114" s="661"/>
      <c r="AL114" s="661"/>
      <c r="AM114" s="661"/>
      <c r="AN114" s="665"/>
    </row>
    <row r="115" spans="2:40" ht="16">
      <c r="B115" s="695" t="s">
        <v>1161</v>
      </c>
      <c r="C115" s="696" t="s">
        <v>63</v>
      </c>
      <c r="D115" s="696"/>
      <c r="E115" s="697" t="str">
        <f>B109</f>
        <v>○○○○○(기관명2)</v>
      </c>
      <c r="F115" s="697"/>
      <c r="G115" s="697"/>
      <c r="H115" s="355" t="s">
        <v>59</v>
      </c>
      <c r="I115" s="356" t="s">
        <v>51</v>
      </c>
      <c r="J115" s="221"/>
      <c r="V115" s="654" t="s">
        <v>993</v>
      </c>
      <c r="W115" s="655"/>
      <c r="X115" s="655"/>
      <c r="Y115" s="655"/>
      <c r="Z115" s="655"/>
      <c r="AA115" s="655"/>
      <c r="AB115" s="655"/>
      <c r="AC115" s="655"/>
      <c r="AD115" s="656"/>
      <c r="AF115" s="676" t="s">
        <v>1146</v>
      </c>
      <c r="AG115" s="677"/>
      <c r="AH115" s="677"/>
      <c r="AI115" s="677"/>
      <c r="AJ115" s="677"/>
      <c r="AK115" s="677"/>
      <c r="AL115" s="677"/>
      <c r="AM115" s="677"/>
      <c r="AN115" s="678"/>
    </row>
    <row r="116" spans="2:40" ht="16">
      <c r="B116" s="695"/>
      <c r="C116" s="696" t="s">
        <v>61</v>
      </c>
      <c r="D116" s="696"/>
      <c r="E116" s="697"/>
      <c r="F116" s="697"/>
      <c r="G116" s="697"/>
      <c r="H116" s="697"/>
      <c r="I116" s="697"/>
      <c r="J116" s="221"/>
      <c r="V116" s="256" t="s">
        <v>994</v>
      </c>
      <c r="W116" s="388"/>
      <c r="X116" s="388"/>
      <c r="Y116" s="388"/>
      <c r="Z116" s="388"/>
      <c r="AA116" s="388"/>
      <c r="AB116" s="388"/>
      <c r="AC116" s="388"/>
      <c r="AD116" s="389"/>
      <c r="AF116" s="654" t="s">
        <v>993</v>
      </c>
      <c r="AG116" s="655"/>
      <c r="AH116" s="655"/>
      <c r="AI116" s="655"/>
      <c r="AJ116" s="655"/>
      <c r="AK116" s="655"/>
      <c r="AL116" s="655"/>
      <c r="AM116" s="655"/>
      <c r="AN116" s="656"/>
    </row>
    <row r="117" spans="2:40" ht="16">
      <c r="B117" s="695" t="s">
        <v>1164</v>
      </c>
      <c r="C117" s="696" t="s">
        <v>63</v>
      </c>
      <c r="D117" s="696"/>
      <c r="E117" s="697" t="s">
        <v>1196</v>
      </c>
      <c r="F117" s="697"/>
      <c r="G117" s="697"/>
      <c r="H117" s="355" t="s">
        <v>59</v>
      </c>
      <c r="I117" s="356" t="s">
        <v>51</v>
      </c>
      <c r="J117" s="221"/>
      <c r="V117" s="256" t="s">
        <v>995</v>
      </c>
      <c r="W117" s="388"/>
      <c r="X117" s="388"/>
      <c r="Y117" s="388"/>
      <c r="Z117" s="388"/>
      <c r="AA117" s="388"/>
      <c r="AB117" s="388"/>
      <c r="AC117" s="388"/>
      <c r="AD117" s="389"/>
      <c r="AF117" s="256" t="s">
        <v>994</v>
      </c>
      <c r="AG117" s="388"/>
      <c r="AH117" s="388"/>
      <c r="AI117" s="388"/>
      <c r="AJ117" s="388"/>
      <c r="AK117" s="388"/>
      <c r="AL117" s="388"/>
      <c r="AM117" s="388"/>
      <c r="AN117" s="389"/>
    </row>
    <row r="118" spans="2:40" ht="16">
      <c r="B118" s="695"/>
      <c r="C118" s="696" t="s">
        <v>61</v>
      </c>
      <c r="D118" s="696"/>
      <c r="E118" s="697"/>
      <c r="F118" s="697"/>
      <c r="G118" s="697"/>
      <c r="H118" s="697"/>
      <c r="I118" s="697"/>
      <c r="J118" s="221"/>
      <c r="V118" s="256" t="s">
        <v>996</v>
      </c>
      <c r="W118" s="388"/>
      <c r="X118" s="388"/>
      <c r="Y118" s="388"/>
      <c r="Z118" s="388"/>
      <c r="AA118" s="388"/>
      <c r="AB118" s="388"/>
      <c r="AC118" s="388"/>
      <c r="AD118" s="389"/>
      <c r="AF118" s="256" t="s">
        <v>995</v>
      </c>
      <c r="AG118" s="388"/>
      <c r="AH118" s="388"/>
      <c r="AI118" s="388"/>
      <c r="AJ118" s="388"/>
      <c r="AK118" s="388"/>
      <c r="AL118" s="388"/>
      <c r="AM118" s="388"/>
      <c r="AN118" s="389"/>
    </row>
    <row r="119" spans="2:40" ht="15.75" customHeight="1">
      <c r="B119" s="729" t="s">
        <v>1129</v>
      </c>
      <c r="C119" s="696" t="s">
        <v>63</v>
      </c>
      <c r="D119" s="696"/>
      <c r="E119" s="697" t="str">
        <f>C108</f>
        <v>○○○○○(기관명1)</v>
      </c>
      <c r="F119" s="697"/>
      <c r="G119" s="697"/>
      <c r="H119" s="355" t="s">
        <v>59</v>
      </c>
      <c r="I119" s="356" t="s">
        <v>51</v>
      </c>
      <c r="J119" s="221"/>
      <c r="V119" s="256"/>
      <c r="W119" s="388"/>
      <c r="X119" s="388"/>
      <c r="Y119" s="388"/>
      <c r="Z119" s="388"/>
      <c r="AA119" s="388"/>
      <c r="AB119" s="388"/>
      <c r="AC119" s="388"/>
      <c r="AD119" s="389"/>
      <c r="AF119" s="256" t="s">
        <v>996</v>
      </c>
      <c r="AG119" s="388"/>
      <c r="AH119" s="388"/>
      <c r="AI119" s="388"/>
      <c r="AJ119" s="388"/>
      <c r="AK119" s="388"/>
      <c r="AL119" s="388"/>
      <c r="AM119" s="388"/>
      <c r="AN119" s="389"/>
    </row>
    <row r="120" spans="2:40" ht="16">
      <c r="B120" s="729"/>
      <c r="C120" s="696" t="s">
        <v>61</v>
      </c>
      <c r="D120" s="696"/>
      <c r="E120" s="697"/>
      <c r="F120" s="697"/>
      <c r="G120" s="697"/>
      <c r="H120" s="697"/>
      <c r="I120" s="697"/>
      <c r="J120" s="221"/>
      <c r="V120" s="651" t="s">
        <v>997</v>
      </c>
      <c r="W120" s="652"/>
      <c r="X120" s="652"/>
      <c r="Y120" s="652"/>
      <c r="Z120" s="652"/>
      <c r="AA120" s="652"/>
      <c r="AB120" s="652"/>
      <c r="AC120" s="652"/>
      <c r="AD120" s="653"/>
      <c r="AF120" s="256"/>
      <c r="AG120" s="388"/>
      <c r="AH120" s="388"/>
      <c r="AI120" s="388"/>
      <c r="AJ120" s="388"/>
      <c r="AK120" s="388"/>
      <c r="AL120" s="388"/>
      <c r="AM120" s="388"/>
      <c r="AN120" s="389"/>
    </row>
    <row r="121" spans="2:40" ht="16">
      <c r="B121" s="729"/>
      <c r="C121" s="696" t="s">
        <v>65</v>
      </c>
      <c r="D121" s="696"/>
      <c r="E121" s="697" t="s">
        <v>851</v>
      </c>
      <c r="F121" s="697"/>
      <c r="G121" s="355" t="s">
        <v>66</v>
      </c>
      <c r="H121" s="698">
        <v>0</v>
      </c>
      <c r="I121" s="698"/>
      <c r="J121" s="379"/>
      <c r="V121" s="676" t="s">
        <v>998</v>
      </c>
      <c r="W121" s="677"/>
      <c r="X121" s="677"/>
      <c r="Y121" s="677"/>
      <c r="Z121" s="677"/>
      <c r="AA121" s="677"/>
      <c r="AB121" s="677"/>
      <c r="AC121" s="677"/>
      <c r="AD121" s="678"/>
      <c r="AF121" s="651" t="s">
        <v>997</v>
      </c>
      <c r="AG121" s="652"/>
      <c r="AH121" s="652"/>
      <c r="AI121" s="652"/>
      <c r="AJ121" s="652"/>
      <c r="AK121" s="652"/>
      <c r="AL121" s="652"/>
      <c r="AM121" s="652"/>
      <c r="AN121" s="653"/>
    </row>
    <row r="122" spans="2:40" ht="16">
      <c r="B122" s="393" t="s">
        <v>64</v>
      </c>
      <c r="C122" s="684" t="s">
        <v>64</v>
      </c>
      <c r="D122" s="684"/>
      <c r="E122" s="684" t="s">
        <v>64</v>
      </c>
      <c r="F122" s="684"/>
      <c r="G122" s="684"/>
      <c r="H122" s="337" t="s">
        <v>64</v>
      </c>
      <c r="I122" s="337" t="s">
        <v>64</v>
      </c>
      <c r="J122" s="234"/>
      <c r="V122" s="676" t="s">
        <v>1147</v>
      </c>
      <c r="W122" s="677"/>
      <c r="X122" s="677"/>
      <c r="Y122" s="677"/>
      <c r="Z122" s="677"/>
      <c r="AA122" s="677"/>
      <c r="AB122" s="677"/>
      <c r="AC122" s="677"/>
      <c r="AD122" s="678"/>
      <c r="AF122" s="676" t="s">
        <v>1228</v>
      </c>
      <c r="AG122" s="677"/>
      <c r="AH122" s="677"/>
      <c r="AI122" s="677"/>
      <c r="AJ122" s="677"/>
      <c r="AK122" s="677"/>
      <c r="AL122" s="677"/>
      <c r="AM122" s="677"/>
      <c r="AN122" s="678"/>
    </row>
    <row r="123" spans="2:40" ht="16">
      <c r="B123" s="742" t="s">
        <v>1165</v>
      </c>
      <c r="C123" s="744" t="s">
        <v>1166</v>
      </c>
      <c r="D123" s="745"/>
      <c r="E123" s="749"/>
      <c r="F123" s="750"/>
      <c r="G123" s="750"/>
      <c r="H123" s="750"/>
      <c r="I123" s="751"/>
      <c r="J123" s="338"/>
      <c r="V123" s="256" t="s">
        <v>999</v>
      </c>
      <c r="W123" s="236"/>
      <c r="X123" s="236"/>
      <c r="Y123" s="236"/>
      <c r="Z123" s="236"/>
      <c r="AA123" s="236"/>
      <c r="AB123" s="236"/>
      <c r="AC123" s="236"/>
      <c r="AD123" s="257"/>
      <c r="AF123" s="256"/>
      <c r="AG123" s="236"/>
      <c r="AH123" s="236"/>
      <c r="AI123" s="236"/>
      <c r="AJ123" s="236"/>
      <c r="AK123" s="236"/>
      <c r="AL123" s="236"/>
      <c r="AM123" s="236"/>
      <c r="AN123" s="257"/>
    </row>
    <row r="124" spans="2:40" ht="16">
      <c r="B124" s="743"/>
      <c r="C124" s="744" t="s">
        <v>1167</v>
      </c>
      <c r="D124" s="745"/>
      <c r="E124" s="746"/>
      <c r="F124" s="747"/>
      <c r="G124" s="747"/>
      <c r="H124" s="747"/>
      <c r="I124" s="748"/>
      <c r="J124" s="338"/>
      <c r="V124" s="256"/>
      <c r="W124" s="236"/>
      <c r="X124" s="236"/>
      <c r="Y124" s="236"/>
      <c r="Z124" s="236"/>
      <c r="AA124" s="236"/>
      <c r="AB124" s="236"/>
      <c r="AC124" s="236"/>
      <c r="AD124" s="257"/>
      <c r="AF124" s="651" t="s">
        <v>1000</v>
      </c>
      <c r="AG124" s="652"/>
      <c r="AH124" s="652"/>
      <c r="AI124" s="652"/>
      <c r="AJ124" s="652"/>
      <c r="AK124" s="652"/>
      <c r="AL124" s="652"/>
      <c r="AM124" s="652"/>
      <c r="AN124" s="653"/>
    </row>
    <row r="125" spans="2:40" ht="15.75" customHeight="1">
      <c r="B125" s="235"/>
      <c r="C125" s="337"/>
      <c r="D125" s="337"/>
      <c r="E125" s="337"/>
      <c r="F125" s="337"/>
      <c r="G125" s="337"/>
      <c r="H125" s="337"/>
      <c r="I125" s="337"/>
      <c r="J125" s="335"/>
      <c r="V125" s="651" t="s">
        <v>1000</v>
      </c>
      <c r="W125" s="652"/>
      <c r="X125" s="652"/>
      <c r="Y125" s="652"/>
      <c r="Z125" s="652"/>
      <c r="AA125" s="652"/>
      <c r="AB125" s="652"/>
      <c r="AC125" s="652"/>
      <c r="AD125" s="653"/>
      <c r="AF125" s="256" t="s">
        <v>1227</v>
      </c>
      <c r="AG125" s="376"/>
      <c r="AH125" s="376"/>
      <c r="AI125" s="376"/>
      <c r="AJ125" s="376"/>
      <c r="AK125" s="376"/>
      <c r="AL125" s="376"/>
      <c r="AM125" s="376"/>
      <c r="AN125" s="377"/>
    </row>
    <row r="126" spans="2:40" ht="16">
      <c r="B126" s="689" t="s">
        <v>1169</v>
      </c>
      <c r="C126" s="690"/>
      <c r="D126" s="690"/>
      <c r="E126" s="690"/>
      <c r="F126" s="690"/>
      <c r="G126" s="690"/>
      <c r="H126" s="690"/>
      <c r="I126" s="690"/>
      <c r="J126" s="691"/>
      <c r="V126" s="256" t="s">
        <v>1024</v>
      </c>
      <c r="W126" s="376"/>
      <c r="X126" s="376"/>
      <c r="Y126" s="376"/>
      <c r="Z126" s="376"/>
      <c r="AA126" s="376"/>
      <c r="AB126" s="376"/>
      <c r="AC126" s="376"/>
      <c r="AD126" s="377"/>
      <c r="AF126" s="654" t="s">
        <v>1121</v>
      </c>
      <c r="AG126" s="655"/>
      <c r="AH126" s="655"/>
      <c r="AI126" s="655"/>
      <c r="AJ126" s="655"/>
      <c r="AK126" s="655"/>
      <c r="AL126" s="655"/>
      <c r="AM126" s="655"/>
      <c r="AN126" s="656"/>
    </row>
    <row r="127" spans="2:40" ht="16">
      <c r="B127" s="235" t="s">
        <v>1180</v>
      </c>
      <c r="C127" s="242"/>
      <c r="D127" s="242"/>
      <c r="E127" s="242"/>
      <c r="F127" s="242"/>
      <c r="G127" s="242"/>
      <c r="H127" s="242"/>
      <c r="I127" s="242"/>
      <c r="J127" s="338"/>
      <c r="V127" s="654" t="s">
        <v>1121</v>
      </c>
      <c r="W127" s="655"/>
      <c r="X127" s="655"/>
      <c r="Y127" s="655"/>
      <c r="Z127" s="655"/>
      <c r="AA127" s="655"/>
      <c r="AB127" s="655"/>
      <c r="AC127" s="655"/>
      <c r="AD127" s="656"/>
      <c r="AF127" s="256" t="s">
        <v>1001</v>
      </c>
      <c r="AG127" s="388"/>
      <c r="AH127" s="388"/>
      <c r="AI127" s="388"/>
      <c r="AJ127" s="388"/>
      <c r="AK127" s="388"/>
      <c r="AL127" s="388"/>
      <c r="AM127" s="388"/>
      <c r="AN127" s="389"/>
    </row>
    <row r="128" spans="2:40" ht="16">
      <c r="B128" s="224" t="s">
        <v>1193</v>
      </c>
      <c r="J128" s="221"/>
      <c r="V128" s="256" t="s">
        <v>1001</v>
      </c>
      <c r="W128" s="388"/>
      <c r="X128" s="388"/>
      <c r="Y128" s="388"/>
      <c r="Z128" s="388"/>
      <c r="AA128" s="388"/>
      <c r="AB128" s="388"/>
      <c r="AC128" s="388"/>
      <c r="AD128" s="389"/>
      <c r="AF128" s="256"/>
      <c r="AG128" s="388"/>
      <c r="AH128" s="388"/>
      <c r="AI128" s="388"/>
      <c r="AJ128" s="388"/>
      <c r="AK128" s="388"/>
      <c r="AL128" s="388"/>
      <c r="AM128" s="388"/>
      <c r="AN128" s="389"/>
    </row>
    <row r="129" spans="2:40" ht="15.75" customHeight="1">
      <c r="B129" s="689" t="s">
        <v>1170</v>
      </c>
      <c r="C129" s="690"/>
      <c r="D129" s="690"/>
      <c r="E129" s="690"/>
      <c r="F129" s="690"/>
      <c r="G129" s="690"/>
      <c r="H129" s="690"/>
      <c r="I129" s="690"/>
      <c r="J129" s="691"/>
      <c r="V129" s="256"/>
      <c r="W129" s="388"/>
      <c r="X129" s="388"/>
      <c r="Y129" s="388"/>
      <c r="Z129" s="388"/>
      <c r="AA129" s="388"/>
      <c r="AB129" s="388"/>
      <c r="AC129" s="388"/>
      <c r="AD129" s="389"/>
      <c r="AF129" s="256" t="s">
        <v>1033</v>
      </c>
      <c r="AG129" s="388"/>
      <c r="AH129" s="388"/>
      <c r="AI129" s="388"/>
      <c r="AJ129" s="388"/>
      <c r="AK129" s="388"/>
      <c r="AL129" s="388"/>
      <c r="AM129" s="388"/>
      <c r="AN129" s="389"/>
    </row>
    <row r="130" spans="2:40" ht="16">
      <c r="B130" s="740" t="s">
        <v>1192</v>
      </c>
      <c r="C130" s="718"/>
      <c r="D130" s="718"/>
      <c r="E130" s="353" t="s">
        <v>854</v>
      </c>
      <c r="F130" s="240" t="s">
        <v>81</v>
      </c>
      <c r="G130" s="353" t="s">
        <v>854</v>
      </c>
      <c r="H130" s="240" t="s">
        <v>82</v>
      </c>
      <c r="I130" s="368"/>
      <c r="J130" s="221"/>
      <c r="V130" s="256" t="s">
        <v>1033</v>
      </c>
      <c r="W130" s="388"/>
      <c r="X130" s="388"/>
      <c r="Y130" s="388"/>
      <c r="Z130" s="388"/>
      <c r="AA130" s="388"/>
      <c r="AB130" s="388"/>
      <c r="AC130" s="388"/>
      <c r="AD130" s="389"/>
      <c r="AF130" s="256" t="s">
        <v>1035</v>
      </c>
      <c r="AG130" s="214"/>
      <c r="AH130" s="214"/>
      <c r="AI130" s="214"/>
      <c r="AJ130" s="214"/>
      <c r="AK130" s="214"/>
      <c r="AL130" s="214"/>
      <c r="AM130" s="214"/>
      <c r="AN130" s="221"/>
    </row>
    <row r="131" spans="2:40" ht="16">
      <c r="B131" s="334" t="s">
        <v>1171</v>
      </c>
      <c r="C131" s="237"/>
      <c r="D131" s="237"/>
      <c r="E131" s="237"/>
      <c r="F131" s="237"/>
      <c r="G131" s="237"/>
      <c r="H131" s="237"/>
      <c r="I131" s="237"/>
      <c r="J131" s="335"/>
      <c r="V131" s="256" t="s">
        <v>1035</v>
      </c>
      <c r="AD131" s="221"/>
      <c r="AF131" s="220" t="s">
        <v>1034</v>
      </c>
      <c r="AG131" s="214"/>
      <c r="AH131" s="214"/>
      <c r="AI131" s="214"/>
      <c r="AJ131" s="214"/>
      <c r="AK131" s="214"/>
      <c r="AL131" s="214"/>
      <c r="AM131" s="214"/>
      <c r="AN131" s="221"/>
    </row>
    <row r="132" spans="2:40" ht="16">
      <c r="B132" s="235" t="s">
        <v>1181</v>
      </c>
      <c r="C132" s="237"/>
      <c r="D132" s="237"/>
      <c r="E132" s="237"/>
      <c r="F132" s="237"/>
      <c r="G132" s="237"/>
      <c r="H132" s="237"/>
      <c r="I132" s="237"/>
      <c r="J132" s="257"/>
      <c r="V132" s="220" t="s">
        <v>1034</v>
      </c>
      <c r="AD132" s="221"/>
      <c r="AF132" s="657">
        <f ca="1">TODAY()</f>
        <v>46132</v>
      </c>
      <c r="AG132" s="658"/>
      <c r="AH132" s="658"/>
      <c r="AI132" s="658"/>
      <c r="AJ132" s="658"/>
      <c r="AK132" s="658"/>
      <c r="AL132" s="658"/>
      <c r="AM132" s="658"/>
      <c r="AN132" s="659"/>
    </row>
    <row r="133" spans="2:40" ht="16">
      <c r="B133" s="235" t="s">
        <v>1187</v>
      </c>
      <c r="C133" s="237"/>
      <c r="D133" s="237"/>
      <c r="E133" s="237"/>
      <c r="F133" s="237"/>
      <c r="G133" s="237"/>
      <c r="H133" s="237"/>
      <c r="I133" s="237"/>
      <c r="J133" s="257"/>
      <c r="V133" s="657">
        <f ca="1">TODAY()</f>
        <v>46132</v>
      </c>
      <c r="W133" s="658"/>
      <c r="X133" s="658"/>
      <c r="Y133" s="658"/>
      <c r="Z133" s="658"/>
      <c r="AA133" s="658"/>
      <c r="AB133" s="658"/>
      <c r="AC133" s="658"/>
      <c r="AD133" s="659"/>
      <c r="AF133" s="220"/>
      <c r="AG133" s="214"/>
      <c r="AH133" s="214"/>
      <c r="AI133" s="214"/>
      <c r="AJ133" s="214"/>
      <c r="AK133" s="214"/>
      <c r="AL133" s="214"/>
      <c r="AM133" s="214"/>
      <c r="AN133" s="221"/>
    </row>
    <row r="134" spans="2:40" ht="16">
      <c r="B134" s="256" t="s">
        <v>1182</v>
      </c>
      <c r="C134" s="236"/>
      <c r="D134" s="236"/>
      <c r="E134" s="236"/>
      <c r="F134" s="236"/>
      <c r="G134" s="236"/>
      <c r="H134" s="236"/>
      <c r="I134" s="236"/>
      <c r="J134" s="257"/>
      <c r="V134" s="220"/>
      <c r="AD134" s="221"/>
      <c r="AF134" s="258" t="s">
        <v>140</v>
      </c>
      <c r="AG134" s="259" t="s">
        <v>141</v>
      </c>
      <c r="AH134" s="214"/>
      <c r="AI134" s="260" t="s">
        <v>142</v>
      </c>
      <c r="AJ134" s="660" t="str">
        <f>AI11</f>
        <v>○○○○○(기관명)</v>
      </c>
      <c r="AK134" s="660"/>
      <c r="AL134" s="345"/>
      <c r="AM134" s="261" t="str">
        <f>AM11</f>
        <v>○○○</v>
      </c>
      <c r="AN134" s="262" t="s">
        <v>143</v>
      </c>
    </row>
    <row r="135" spans="2:40" ht="16">
      <c r="B135" s="256" t="s">
        <v>1186</v>
      </c>
      <c r="C135" s="236"/>
      <c r="D135" s="236"/>
      <c r="E135" s="236"/>
      <c r="F135" s="236"/>
      <c r="G135" s="236"/>
      <c r="H135" s="236"/>
      <c r="I135" s="236"/>
      <c r="J135" s="257"/>
      <c r="V135" s="258" t="s">
        <v>140</v>
      </c>
      <c r="W135" s="259" t="s">
        <v>141</v>
      </c>
      <c r="Y135" s="260" t="s">
        <v>142</v>
      </c>
      <c r="Z135" s="660" t="str">
        <f>Y11</f>
        <v>AI연구원</v>
      </c>
      <c r="AA135" s="660"/>
      <c r="AB135" s="345"/>
      <c r="AC135" s="261" t="str">
        <f>AC11</f>
        <v>장병탁</v>
      </c>
      <c r="AD135" s="262" t="s">
        <v>143</v>
      </c>
      <c r="AF135" s="258" t="s">
        <v>144</v>
      </c>
      <c r="AG135" s="259" t="s">
        <v>78</v>
      </c>
      <c r="AH135" s="214"/>
      <c r="AI135" s="260" t="s">
        <v>142</v>
      </c>
      <c r="AJ135" s="679" t="str">
        <f>AI13</f>
        <v>○○○○○</v>
      </c>
      <c r="AK135" s="679"/>
      <c r="AL135" s="346"/>
      <c r="AM135" s="268">
        <f>AM7</f>
        <v>0</v>
      </c>
      <c r="AN135" s="262" t="s">
        <v>145</v>
      </c>
    </row>
    <row r="136" spans="2:40" ht="16">
      <c r="B136" s="256" t="s">
        <v>1188</v>
      </c>
      <c r="C136" s="236"/>
      <c r="D136" s="236"/>
      <c r="E136" s="236"/>
      <c r="F136" s="236"/>
      <c r="G136" s="236"/>
      <c r="H136" s="236"/>
      <c r="I136" s="236"/>
      <c r="J136" s="257"/>
      <c r="V136" s="258" t="s">
        <v>144</v>
      </c>
      <c r="W136" s="259" t="s">
        <v>78</v>
      </c>
      <c r="Y136" s="260" t="s">
        <v>142</v>
      </c>
      <c r="Z136" s="679" t="str">
        <f>Y13</f>
        <v>○○○○○</v>
      </c>
      <c r="AA136" s="679"/>
      <c r="AB136" s="346"/>
      <c r="AC136" s="268">
        <f>AC7</f>
        <v>0</v>
      </c>
      <c r="AD136" s="262" t="s">
        <v>145</v>
      </c>
      <c r="AF136" s="258"/>
      <c r="AG136" s="259"/>
      <c r="AH136" s="214"/>
      <c r="AI136" s="242" t="s">
        <v>1002</v>
      </c>
      <c r="AJ136" s="269"/>
      <c r="AK136" s="269"/>
      <c r="AL136" s="269"/>
      <c r="AM136" s="267"/>
      <c r="AN136" s="262"/>
    </row>
    <row r="137" spans="2:40" ht="16">
      <c r="B137" s="235" t="s">
        <v>1197</v>
      </c>
      <c r="C137" s="236"/>
      <c r="D137" s="236"/>
      <c r="E137" s="236"/>
      <c r="F137" s="236"/>
      <c r="G137" s="236"/>
      <c r="H137" s="236"/>
      <c r="I137" s="236"/>
      <c r="J137" s="257"/>
      <c r="V137" s="258"/>
      <c r="W137" s="259"/>
      <c r="Y137" s="242" t="s">
        <v>1002</v>
      </c>
      <c r="Z137" s="269"/>
      <c r="AA137" s="269"/>
      <c r="AB137" s="269"/>
      <c r="AC137" s="267"/>
      <c r="AD137" s="262"/>
      <c r="AF137" s="258" t="s">
        <v>146</v>
      </c>
      <c r="AG137" s="259" t="s">
        <v>1115</v>
      </c>
      <c r="AH137" s="214"/>
      <c r="AI137" s="260" t="s">
        <v>142</v>
      </c>
      <c r="AJ137" s="660" t="str">
        <f>AI15</f>
        <v>○○○○○(기관명)</v>
      </c>
      <c r="AK137" s="660"/>
      <c r="AL137" s="345"/>
      <c r="AM137" s="261">
        <f>AG8</f>
        <v>0</v>
      </c>
      <c r="AN137" s="262" t="s">
        <v>145</v>
      </c>
    </row>
    <row r="138" spans="2:40" ht="16">
      <c r="B138" s="339" t="s">
        <v>1172</v>
      </c>
      <c r="C138" s="236"/>
      <c r="D138" s="236"/>
      <c r="E138" s="236"/>
      <c r="F138" s="236"/>
      <c r="G138" s="236"/>
      <c r="H138" s="236"/>
      <c r="I138" s="236"/>
      <c r="J138" s="377"/>
      <c r="V138" s="258" t="s">
        <v>146</v>
      </c>
      <c r="W138" s="259" t="s">
        <v>1115</v>
      </c>
      <c r="Y138" s="260" t="s">
        <v>142</v>
      </c>
      <c r="Z138" s="660" t="str">
        <f>Y15</f>
        <v>AI연구원</v>
      </c>
      <c r="AA138" s="660"/>
      <c r="AB138" s="345"/>
      <c r="AC138" s="261">
        <f>W8</f>
        <v>0</v>
      </c>
      <c r="AD138" s="262" t="s">
        <v>145</v>
      </c>
      <c r="AF138" s="258"/>
      <c r="AG138" s="259"/>
      <c r="AH138" s="214"/>
      <c r="AI138" s="260"/>
      <c r="AJ138" s="282"/>
      <c r="AK138" s="282"/>
      <c r="AL138" s="282"/>
      <c r="AM138" s="214"/>
      <c r="AN138" s="262"/>
    </row>
    <row r="139" spans="2:40" ht="16">
      <c r="B139" s="256" t="s">
        <v>1183</v>
      </c>
      <c r="C139" s="236"/>
      <c r="D139" s="236"/>
      <c r="E139" s="236"/>
      <c r="F139" s="236"/>
      <c r="G139" s="236"/>
      <c r="H139" s="236"/>
      <c r="I139" s="236"/>
      <c r="J139" s="257"/>
      <c r="V139" s="258"/>
      <c r="W139" s="259"/>
      <c r="Y139" s="260"/>
      <c r="Z139" s="282"/>
      <c r="AA139" s="282"/>
      <c r="AB139" s="282"/>
      <c r="AD139" s="262"/>
      <c r="AF139" s="334" t="s">
        <v>1122</v>
      </c>
      <c r="AG139" s="259"/>
      <c r="AH139" s="214"/>
      <c r="AI139" s="260"/>
      <c r="AJ139" s="345"/>
      <c r="AK139" s="345"/>
      <c r="AL139" s="345"/>
      <c r="AM139" s="261">
        <f>AG8</f>
        <v>0</v>
      </c>
      <c r="AN139" s="262" t="s">
        <v>145</v>
      </c>
    </row>
    <row r="140" spans="2:40" ht="16">
      <c r="B140" s="256" t="s">
        <v>1173</v>
      </c>
      <c r="C140" s="376"/>
      <c r="D140" s="376"/>
      <c r="E140" s="376"/>
      <c r="F140" s="376"/>
      <c r="G140" s="376"/>
      <c r="H140" s="376"/>
      <c r="I140" s="376"/>
      <c r="J140" s="257"/>
      <c r="V140" s="334" t="s">
        <v>1122</v>
      </c>
      <c r="W140" s="259"/>
      <c r="Y140" s="260"/>
      <c r="Z140" s="345"/>
      <c r="AA140" s="345"/>
      <c r="AB140" s="345"/>
      <c r="AC140" s="261">
        <f>W8</f>
        <v>0</v>
      </c>
      <c r="AD140" s="262" t="s">
        <v>145</v>
      </c>
      <c r="AF140" s="275"/>
      <c r="AG140" s="263"/>
      <c r="AH140" s="264"/>
      <c r="AI140" s="265"/>
      <c r="AJ140" s="265"/>
      <c r="AK140" s="264"/>
      <c r="AL140" s="263"/>
      <c r="AM140" s="261"/>
      <c r="AN140" s="277"/>
    </row>
    <row r="141" spans="2:40" ht="16">
      <c r="B141" s="339" t="s">
        <v>1174</v>
      </c>
      <c r="C141" s="236"/>
      <c r="D141" s="236"/>
      <c r="E141" s="236"/>
      <c r="F141" s="236"/>
      <c r="G141" s="236"/>
      <c r="H141" s="236"/>
      <c r="I141" s="236"/>
      <c r="J141" s="257"/>
      <c r="V141" s="275"/>
      <c r="W141" s="263"/>
      <c r="X141" s="264"/>
      <c r="Y141" s="265"/>
      <c r="Z141" s="265"/>
      <c r="AA141" s="264"/>
      <c r="AB141" s="263"/>
      <c r="AC141" s="261"/>
      <c r="AD141" s="277"/>
      <c r="AF141" s="242"/>
      <c r="AG141" s="216"/>
      <c r="AH141" s="260"/>
      <c r="AI141" s="259"/>
      <c r="AJ141" s="259"/>
      <c r="AK141" s="260"/>
      <c r="AL141" s="216"/>
      <c r="AM141" s="267"/>
      <c r="AN141" s="260"/>
    </row>
    <row r="142" spans="2:40" ht="16">
      <c r="B142" s="256" t="s">
        <v>1184</v>
      </c>
      <c r="C142" s="236"/>
      <c r="D142" s="236"/>
      <c r="E142" s="236"/>
      <c r="F142" s="236"/>
      <c r="G142" s="236"/>
      <c r="H142" s="236"/>
      <c r="I142" s="236"/>
      <c r="J142" s="257"/>
      <c r="V142" s="242"/>
      <c r="W142" s="216"/>
      <c r="X142" s="260"/>
      <c r="Y142" s="259"/>
      <c r="Z142" s="259"/>
      <c r="AA142" s="260"/>
      <c r="AB142" s="216"/>
      <c r="AC142" s="267"/>
      <c r="AD142" s="260"/>
      <c r="AF142" s="216"/>
      <c r="AG142" s="216"/>
      <c r="AH142" s="216"/>
      <c r="AI142" s="216"/>
      <c r="AJ142" s="216"/>
      <c r="AK142" s="216"/>
      <c r="AL142" s="216"/>
      <c r="AM142" s="216"/>
      <c r="AN142" s="216"/>
    </row>
    <row r="143" spans="2:40" ht="16">
      <c r="B143" s="256" t="s">
        <v>1185</v>
      </c>
      <c r="C143" s="236"/>
      <c r="D143" s="236"/>
      <c r="E143" s="236"/>
      <c r="F143" s="236"/>
      <c r="G143" s="236"/>
      <c r="H143" s="236"/>
      <c r="I143" s="236"/>
      <c r="J143" s="257"/>
      <c r="V143" s="216"/>
      <c r="W143" s="216"/>
      <c r="X143" s="216"/>
      <c r="Y143" s="216"/>
      <c r="Z143" s="216"/>
      <c r="AA143" s="216"/>
      <c r="AB143" s="216"/>
      <c r="AC143" s="216"/>
      <c r="AD143" s="216"/>
      <c r="AF143" s="216"/>
      <c r="AG143" s="216"/>
      <c r="AH143" s="216"/>
      <c r="AI143" s="216"/>
      <c r="AJ143" s="216"/>
      <c r="AK143" s="216"/>
      <c r="AL143" s="216"/>
      <c r="AM143" s="216"/>
      <c r="AN143" s="216"/>
    </row>
    <row r="144" spans="2:40">
      <c r="B144" s="256" t="s">
        <v>1198</v>
      </c>
      <c r="C144" s="236"/>
      <c r="D144" s="236"/>
      <c r="E144" s="236"/>
      <c r="F144" s="236"/>
      <c r="G144" s="236"/>
      <c r="H144" s="236"/>
      <c r="I144" s="236"/>
      <c r="J144" s="257"/>
      <c r="V144" s="216"/>
      <c r="W144" s="216"/>
      <c r="X144" s="216"/>
      <c r="Y144" s="216"/>
      <c r="Z144" s="216"/>
      <c r="AA144" s="216"/>
      <c r="AB144" s="216"/>
      <c r="AC144" s="216"/>
      <c r="AD144" s="216"/>
    </row>
    <row r="145" spans="2:30" ht="18.5">
      <c r="B145" s="339" t="s">
        <v>1175</v>
      </c>
      <c r="C145" s="236"/>
      <c r="D145" s="236"/>
      <c r="E145" s="236"/>
      <c r="F145" s="236"/>
      <c r="G145" s="236"/>
      <c r="H145" s="236"/>
      <c r="I145" s="236"/>
      <c r="J145" s="257"/>
      <c r="V145" s="283" t="s">
        <v>1036</v>
      </c>
    </row>
    <row r="146" spans="2:30" ht="18.5">
      <c r="B146" s="256" t="s">
        <v>1189</v>
      </c>
      <c r="C146" s="236"/>
      <c r="D146" s="236"/>
      <c r="E146" s="236"/>
      <c r="F146" s="236"/>
      <c r="G146" s="236"/>
      <c r="H146" s="236"/>
      <c r="I146" s="236"/>
      <c r="J146" s="333"/>
      <c r="V146" s="270"/>
    </row>
    <row r="147" spans="2:30">
      <c r="B147" s="256" t="s">
        <v>1190</v>
      </c>
      <c r="C147" s="236"/>
      <c r="D147" s="236"/>
      <c r="E147" s="236"/>
      <c r="F147" s="236"/>
      <c r="G147" s="236"/>
      <c r="H147" s="236"/>
      <c r="I147" s="236"/>
      <c r="J147" s="333"/>
      <c r="V147" s="217"/>
      <c r="W147" s="218"/>
      <c r="X147" s="218"/>
      <c r="Y147" s="218"/>
      <c r="Z147" s="218"/>
      <c r="AA147" s="218"/>
      <c r="AB147" s="218"/>
      <c r="AC147" s="218"/>
      <c r="AD147" s="219"/>
    </row>
    <row r="148" spans="2:30" ht="17.5">
      <c r="B148" s="334" t="s">
        <v>1176</v>
      </c>
      <c r="C148" s="237"/>
      <c r="D148" s="237"/>
      <c r="E148" s="237"/>
      <c r="F148" s="237"/>
      <c r="G148" s="237"/>
      <c r="H148" s="237"/>
      <c r="I148" s="237"/>
      <c r="J148" s="333"/>
      <c r="V148" s="271" t="s">
        <v>64</v>
      </c>
      <c r="W148" s="216"/>
      <c r="X148" s="216"/>
      <c r="Y148" s="216"/>
      <c r="Z148" s="216"/>
      <c r="AA148" s="216"/>
      <c r="AB148" s="216"/>
      <c r="AC148" s="216"/>
      <c r="AD148" s="272"/>
    </row>
    <row r="149" spans="2:30" ht="17.5">
      <c r="B149" s="235" t="s">
        <v>1191</v>
      </c>
      <c r="C149" s="237"/>
      <c r="D149" s="237"/>
      <c r="E149" s="237"/>
      <c r="F149" s="237"/>
      <c r="G149" s="237"/>
      <c r="H149" s="237"/>
      <c r="I149" s="237"/>
      <c r="J149" s="333"/>
      <c r="V149" s="706" t="s">
        <v>1003</v>
      </c>
      <c r="W149" s="707"/>
      <c r="X149" s="707"/>
      <c r="Y149" s="707"/>
      <c r="Z149" s="707"/>
      <c r="AA149" s="707"/>
      <c r="AB149" s="707"/>
      <c r="AC149" s="707"/>
      <c r="AD149" s="708"/>
    </row>
    <row r="150" spans="2:30" ht="17.5">
      <c r="B150" s="382"/>
      <c r="C150" s="359"/>
      <c r="D150" s="359"/>
      <c r="E150" s="359"/>
      <c r="F150" s="359"/>
      <c r="G150" s="359"/>
      <c r="H150" s="359"/>
      <c r="I150" s="237"/>
      <c r="J150" s="333"/>
      <c r="V150" s="709" t="s">
        <v>1107</v>
      </c>
      <c r="W150" s="710"/>
      <c r="X150" s="710"/>
      <c r="Y150" s="710"/>
      <c r="Z150" s="710"/>
      <c r="AA150" s="710"/>
      <c r="AB150" s="710"/>
      <c r="AC150" s="710"/>
      <c r="AD150" s="711"/>
    </row>
    <row r="151" spans="2:30" ht="17.5">
      <c r="B151" s="657">
        <f ca="1">TODAY()</f>
        <v>46132</v>
      </c>
      <c r="C151" s="658"/>
      <c r="D151" s="658"/>
      <c r="E151" s="658"/>
      <c r="F151" s="658"/>
      <c r="G151" s="658"/>
      <c r="H151" s="658"/>
      <c r="I151" s="658"/>
      <c r="J151" s="659"/>
      <c r="V151" s="287"/>
      <c r="W151" s="288"/>
      <c r="X151" s="288"/>
      <c r="Y151" s="288"/>
      <c r="Z151" s="288"/>
      <c r="AA151" s="288"/>
      <c r="AB151" s="288"/>
      <c r="AC151" s="288"/>
      <c r="AD151" s="289"/>
    </row>
    <row r="152" spans="2:30" ht="17.5">
      <c r="B152" s="220"/>
      <c r="J152" s="221"/>
      <c r="V152" s="271" t="s">
        <v>64</v>
      </c>
      <c r="W152" s="216"/>
      <c r="X152" s="216"/>
      <c r="Y152" s="216"/>
      <c r="Z152" s="216"/>
      <c r="AA152" s="216"/>
      <c r="AB152" s="216"/>
      <c r="AC152" s="216"/>
      <c r="AD152" s="272"/>
    </row>
    <row r="153" spans="2:30" ht="17.5">
      <c r="B153" s="258" t="s">
        <v>140</v>
      </c>
      <c r="C153" s="259" t="s">
        <v>141</v>
      </c>
      <c r="E153" s="260" t="s">
        <v>142</v>
      </c>
      <c r="F153" s="660" t="str">
        <f>C108</f>
        <v>○○○○○(기관명1)</v>
      </c>
      <c r="G153" s="660"/>
      <c r="H153" s="269"/>
      <c r="I153" s="261" t="str">
        <f>I113</f>
        <v>○○○</v>
      </c>
      <c r="J153" s="262" t="s">
        <v>143</v>
      </c>
      <c r="V153" s="271" t="s">
        <v>1123</v>
      </c>
      <c r="W153" s="216"/>
      <c r="X153" s="216"/>
      <c r="Y153" s="216"/>
      <c r="Z153" s="216"/>
      <c r="AA153" s="216"/>
      <c r="AB153" s="216"/>
      <c r="AC153" s="216"/>
      <c r="AD153" s="272"/>
    </row>
    <row r="154" spans="2:30" ht="17.5">
      <c r="B154" s="258" t="s">
        <v>1177</v>
      </c>
      <c r="C154" s="259" t="s">
        <v>141</v>
      </c>
      <c r="E154" s="260" t="s">
        <v>142</v>
      </c>
      <c r="F154" s="660" t="str">
        <f>B109</f>
        <v>○○○○○(기관명2)</v>
      </c>
      <c r="G154" s="660"/>
      <c r="H154" s="269"/>
      <c r="I154" s="261" t="str">
        <f>I115</f>
        <v>○○○</v>
      </c>
      <c r="J154" s="262" t="s">
        <v>143</v>
      </c>
      <c r="V154" s="271" t="s">
        <v>1038</v>
      </c>
      <c r="W154" s="216"/>
      <c r="X154" s="216"/>
      <c r="Y154" s="216"/>
      <c r="Z154" s="216"/>
      <c r="AA154" s="216"/>
      <c r="AB154" s="216"/>
      <c r="AC154" s="216"/>
      <c r="AD154" s="272"/>
    </row>
    <row r="155" spans="2:30" ht="17.5">
      <c r="B155" s="258" t="s">
        <v>1178</v>
      </c>
      <c r="C155" s="259" t="s">
        <v>78</v>
      </c>
      <c r="E155" s="260" t="s">
        <v>142</v>
      </c>
      <c r="F155" s="679" t="str">
        <f>E117</f>
        <v>○○대학 ○○학과 ○교수</v>
      </c>
      <c r="G155" s="679"/>
      <c r="H155" s="392"/>
      <c r="I155" s="261" t="str">
        <f>I117</f>
        <v>○○○</v>
      </c>
      <c r="J155" s="262" t="s">
        <v>145</v>
      </c>
      <c r="V155" s="271"/>
      <c r="W155" s="216"/>
      <c r="X155" s="216"/>
      <c r="Y155" s="216"/>
      <c r="Z155" s="216"/>
      <c r="AA155" s="216"/>
      <c r="AB155" s="216"/>
      <c r="AC155" s="216"/>
      <c r="AD155" s="272"/>
    </row>
    <row r="156" spans="2:30" ht="17.5">
      <c r="B156" s="258" t="s">
        <v>1179</v>
      </c>
      <c r="C156" s="383" t="s">
        <v>1100</v>
      </c>
      <c r="E156" s="260"/>
      <c r="F156" s="741"/>
      <c r="G156" s="741"/>
      <c r="H156" s="269"/>
      <c r="I156" s="261" t="str">
        <f>I119</f>
        <v>○○○</v>
      </c>
      <c r="J156" s="262" t="s">
        <v>145</v>
      </c>
      <c r="V156" s="271"/>
      <c r="W156" s="216"/>
      <c r="X156" s="216"/>
      <c r="Y156" s="216"/>
      <c r="Z156" s="216"/>
      <c r="AA156" s="216"/>
      <c r="AB156" s="216"/>
      <c r="AC156" s="216"/>
      <c r="AD156" s="272"/>
    </row>
    <row r="157" spans="2:30" ht="17.5">
      <c r="B157" s="394"/>
      <c r="C157" s="395"/>
      <c r="D157" s="395"/>
      <c r="E157" s="395"/>
      <c r="F157" s="395"/>
      <c r="G157" s="395"/>
      <c r="H157" s="395"/>
      <c r="I157" s="395"/>
      <c r="J157" s="396"/>
      <c r="V157" s="706" t="s">
        <v>1004</v>
      </c>
      <c r="W157" s="707"/>
      <c r="X157" s="707"/>
      <c r="Y157" s="707"/>
      <c r="Z157" s="707"/>
      <c r="AA157" s="707"/>
      <c r="AB157" s="707"/>
      <c r="AC157" s="707"/>
      <c r="AD157" s="708"/>
    </row>
    <row r="158" spans="2:30" ht="17.5">
      <c r="B158" s="237"/>
      <c r="C158" s="237"/>
      <c r="D158" s="237"/>
      <c r="E158" s="237"/>
      <c r="F158" s="237"/>
      <c r="G158" s="237"/>
      <c r="H158" s="237"/>
      <c r="I158" s="237"/>
      <c r="J158" s="237"/>
      <c r="V158" s="284"/>
      <c r="W158" s="285"/>
      <c r="X158" s="285"/>
      <c r="Y158" s="285"/>
      <c r="Z158" s="285"/>
      <c r="AA158" s="285"/>
      <c r="AB158" s="285"/>
      <c r="AC158" s="285"/>
      <c r="AD158" s="286"/>
    </row>
    <row r="159" spans="2:30" ht="17.5">
      <c r="B159" s="237"/>
      <c r="C159" s="237"/>
      <c r="D159" s="237"/>
      <c r="E159" s="237"/>
      <c r="F159" s="237"/>
      <c r="G159" s="237"/>
      <c r="H159" s="237"/>
      <c r="I159" s="237"/>
      <c r="J159" s="237"/>
      <c r="V159" s="271" t="s">
        <v>64</v>
      </c>
      <c r="W159" s="216"/>
      <c r="X159" s="216"/>
      <c r="Y159" s="216"/>
      <c r="Z159" s="216"/>
      <c r="AA159" s="216"/>
      <c r="AB159" s="216"/>
      <c r="AC159" s="216"/>
      <c r="AD159" s="272"/>
    </row>
    <row r="160" spans="2:30" ht="17.5">
      <c r="B160" s="237"/>
      <c r="C160" s="237"/>
      <c r="D160" s="237"/>
      <c r="E160" s="237"/>
      <c r="F160" s="237"/>
      <c r="G160" s="237"/>
      <c r="H160" s="237"/>
      <c r="I160" s="237"/>
      <c r="J160" s="237"/>
      <c r="V160" s="273" t="s">
        <v>1039</v>
      </c>
      <c r="W160" s="216"/>
      <c r="X160" s="216"/>
      <c r="Y160" s="216"/>
      <c r="Z160" s="216"/>
      <c r="AA160" s="216"/>
      <c r="AB160" s="216"/>
      <c r="AC160" s="216"/>
      <c r="AD160" s="272"/>
    </row>
    <row r="161" spans="2:30" ht="17.5">
      <c r="B161" s="237"/>
      <c r="C161" s="237"/>
      <c r="D161" s="237"/>
      <c r="E161" s="237"/>
      <c r="F161" s="237"/>
      <c r="G161" s="237"/>
      <c r="H161" s="237"/>
      <c r="I161" s="237"/>
      <c r="J161" s="359"/>
      <c r="V161" s="274" t="s">
        <v>1040</v>
      </c>
      <c r="W161" s="216"/>
      <c r="X161" s="216"/>
      <c r="Y161" s="216"/>
      <c r="Z161" s="216"/>
      <c r="AA161" s="216"/>
      <c r="AB161" s="216"/>
      <c r="AC161" s="216"/>
      <c r="AD161" s="272"/>
    </row>
    <row r="162" spans="2:30" ht="17.5">
      <c r="B162" s="237"/>
      <c r="C162" s="237"/>
      <c r="D162" s="237"/>
      <c r="E162" s="237"/>
      <c r="F162" s="237"/>
      <c r="G162" s="237"/>
      <c r="H162" s="237"/>
      <c r="I162" s="237"/>
      <c r="J162" s="237"/>
      <c r="V162" s="274" t="s">
        <v>1042</v>
      </c>
      <c r="W162" s="216"/>
      <c r="X162" s="216"/>
      <c r="Y162" s="216"/>
      <c r="Z162" s="216"/>
      <c r="AA162" s="216"/>
      <c r="AB162" s="216"/>
      <c r="AC162" s="216"/>
      <c r="AD162" s="272"/>
    </row>
    <row r="163" spans="2:30" ht="17.5">
      <c r="B163" s="236"/>
      <c r="C163" s="236"/>
      <c r="D163" s="236"/>
      <c r="E163" s="236"/>
      <c r="F163" s="236"/>
      <c r="G163" s="236"/>
      <c r="H163" s="236"/>
      <c r="I163" s="359"/>
      <c r="J163" s="237"/>
      <c r="V163" s="274"/>
      <c r="W163" s="216"/>
      <c r="X163" s="216"/>
      <c r="Y163" s="216"/>
      <c r="Z163" s="216"/>
      <c r="AA163" s="216"/>
      <c r="AB163" s="216"/>
      <c r="AC163" s="216"/>
      <c r="AD163" s="272"/>
    </row>
    <row r="164" spans="2:30" ht="17.5">
      <c r="B164" s="237"/>
      <c r="C164" s="237"/>
      <c r="D164" s="237"/>
      <c r="E164" s="237"/>
      <c r="F164" s="237"/>
      <c r="G164" s="237"/>
      <c r="H164" s="237"/>
      <c r="I164" s="237"/>
      <c r="J164" s="237"/>
      <c r="V164" s="273" t="s">
        <v>1041</v>
      </c>
      <c r="W164" s="216"/>
      <c r="X164" s="216"/>
      <c r="Y164" s="216"/>
      <c r="Z164" s="216"/>
      <c r="AA164" s="216"/>
      <c r="AB164" s="216"/>
      <c r="AC164" s="216"/>
      <c r="AD164" s="272"/>
    </row>
    <row r="165" spans="2:30" ht="17.5">
      <c r="B165" s="237"/>
      <c r="C165" s="237"/>
      <c r="D165" s="237"/>
      <c r="E165" s="237"/>
      <c r="F165" s="237"/>
      <c r="G165" s="237"/>
      <c r="H165" s="237"/>
      <c r="I165" s="237"/>
      <c r="J165" s="237"/>
      <c r="V165" s="274" t="s">
        <v>1043</v>
      </c>
      <c r="W165" s="216"/>
      <c r="X165" s="216"/>
      <c r="Y165" s="216"/>
      <c r="Z165" s="216"/>
      <c r="AA165" s="216"/>
      <c r="AB165" s="216"/>
      <c r="AC165" s="216"/>
      <c r="AD165" s="272"/>
    </row>
    <row r="166" spans="2:30" ht="17.5">
      <c r="B166" s="237"/>
      <c r="C166" s="237"/>
      <c r="D166" s="237"/>
      <c r="E166" s="237"/>
      <c r="F166" s="237"/>
      <c r="G166" s="237"/>
      <c r="H166" s="237"/>
      <c r="I166" s="237"/>
      <c r="J166" s="337"/>
      <c r="V166" s="274" t="s">
        <v>1044</v>
      </c>
      <c r="W166" s="216"/>
      <c r="X166" s="216"/>
      <c r="Y166" s="216"/>
      <c r="Z166" s="216"/>
      <c r="AA166" s="216"/>
      <c r="AB166" s="216"/>
      <c r="AC166" s="216"/>
      <c r="AD166" s="272"/>
    </row>
    <row r="167" spans="2:30" ht="17.5">
      <c r="B167" s="237"/>
      <c r="C167" s="237"/>
      <c r="D167" s="237"/>
      <c r="E167" s="237"/>
      <c r="F167" s="237"/>
      <c r="G167" s="237"/>
      <c r="H167" s="237"/>
      <c r="I167" s="237"/>
      <c r="J167" s="337"/>
      <c r="V167" s="271" t="s">
        <v>1045</v>
      </c>
      <c r="W167" s="216"/>
      <c r="X167" s="216"/>
      <c r="Y167" s="216"/>
      <c r="Z167" s="216"/>
      <c r="AA167" s="216"/>
      <c r="AB167" s="216"/>
      <c r="AC167" s="216"/>
      <c r="AD167" s="272"/>
    </row>
    <row r="168" spans="2:30" ht="17.5">
      <c r="B168" s="337"/>
      <c r="C168" s="337"/>
      <c r="D168" s="337"/>
      <c r="E168" s="337"/>
      <c r="F168" s="337"/>
      <c r="G168" s="337"/>
      <c r="H168" s="337"/>
      <c r="I168" s="337"/>
      <c r="J168" s="337"/>
      <c r="V168" s="271"/>
      <c r="W168" s="216"/>
      <c r="X168" s="216"/>
      <c r="Y168" s="216"/>
      <c r="Z168" s="216"/>
      <c r="AA168" s="216"/>
      <c r="AB168" s="216"/>
      <c r="AC168" s="216"/>
      <c r="AD168" s="272"/>
    </row>
    <row r="169" spans="2:30" ht="17.5">
      <c r="B169" s="237"/>
      <c r="C169" s="337"/>
      <c r="D169" s="337"/>
      <c r="E169" s="337"/>
      <c r="F169" s="337"/>
      <c r="G169" s="337"/>
      <c r="H169" s="337"/>
      <c r="I169" s="337"/>
      <c r="J169" s="337"/>
      <c r="V169" s="273" t="s">
        <v>1046</v>
      </c>
      <c r="W169" s="216"/>
      <c r="X169" s="216"/>
      <c r="Y169" s="216"/>
      <c r="Z169" s="216"/>
      <c r="AA169" s="216"/>
      <c r="AB169" s="216"/>
      <c r="AC169" s="216"/>
      <c r="AD169" s="272"/>
    </row>
    <row r="170" spans="2:30" ht="17.5">
      <c r="B170" s="237"/>
      <c r="C170" s="337"/>
      <c r="D170" s="337"/>
      <c r="E170" s="337"/>
      <c r="F170" s="337"/>
      <c r="G170" s="337"/>
      <c r="H170" s="337"/>
      <c r="I170" s="337"/>
      <c r="J170" s="337"/>
      <c r="V170" s="273"/>
      <c r="W170" s="216"/>
      <c r="X170" s="216"/>
      <c r="Y170" s="216"/>
      <c r="Z170" s="216"/>
      <c r="AA170" s="216"/>
      <c r="AB170" s="216"/>
      <c r="AC170" s="216"/>
      <c r="AD170" s="272"/>
    </row>
    <row r="171" spans="2:30" ht="17.25" customHeight="1">
      <c r="B171" s="237"/>
      <c r="C171" s="337"/>
      <c r="D171" s="337"/>
      <c r="E171" s="337"/>
      <c r="F171" s="337"/>
      <c r="G171" s="337"/>
      <c r="H171" s="337"/>
      <c r="I171" s="337"/>
      <c r="J171" s="337"/>
      <c r="V171" s="273" t="s">
        <v>1047</v>
      </c>
      <c r="W171" s="216"/>
      <c r="X171" s="216"/>
      <c r="Y171" s="216"/>
      <c r="Z171" s="216"/>
      <c r="AA171" s="216"/>
      <c r="AB171" s="216"/>
      <c r="AC171" s="216"/>
      <c r="AD171" s="272"/>
    </row>
    <row r="172" spans="2:30" ht="17.5">
      <c r="B172" s="237"/>
      <c r="C172" s="337"/>
      <c r="D172" s="337"/>
      <c r="E172" s="337"/>
      <c r="F172" s="337"/>
      <c r="G172" s="337"/>
      <c r="H172" s="337"/>
      <c r="I172" s="337"/>
      <c r="J172" s="242"/>
      <c r="V172" s="271" t="s">
        <v>64</v>
      </c>
      <c r="W172" s="216"/>
      <c r="X172" s="216"/>
      <c r="Y172" s="216"/>
      <c r="Z172" s="216"/>
      <c r="AA172" s="216"/>
      <c r="AB172" s="216"/>
      <c r="AC172" s="216"/>
      <c r="AD172" s="272"/>
    </row>
    <row r="173" spans="2:30" ht="17.5">
      <c r="B173" s="237"/>
      <c r="C173" s="337"/>
      <c r="D173" s="337"/>
      <c r="E173" s="337"/>
      <c r="F173" s="337"/>
      <c r="G173" s="337"/>
      <c r="H173" s="337"/>
      <c r="I173" s="337"/>
      <c r="J173" s="237"/>
      <c r="V173" s="271" t="s">
        <v>1048</v>
      </c>
      <c r="W173" s="216"/>
      <c r="X173" s="216"/>
      <c r="Y173" s="216"/>
      <c r="Z173" s="216"/>
      <c r="AA173" s="216"/>
      <c r="AB173" s="216"/>
      <c r="AC173" s="216"/>
      <c r="AD173" s="272"/>
    </row>
    <row r="174" spans="2:30" ht="17.5">
      <c r="B174" s="242"/>
      <c r="C174" s="242"/>
      <c r="D174" s="242"/>
      <c r="E174" s="242"/>
      <c r="F174" s="242"/>
      <c r="G174" s="242"/>
      <c r="H174" s="242"/>
      <c r="I174" s="242"/>
      <c r="J174" s="237"/>
      <c r="V174" s="271" t="s">
        <v>1025</v>
      </c>
      <c r="W174" s="216"/>
      <c r="X174" s="216"/>
      <c r="Y174" s="216"/>
      <c r="Z174" s="216"/>
      <c r="AA174" s="216"/>
      <c r="AB174" s="216"/>
      <c r="AC174" s="216"/>
      <c r="AD174" s="272"/>
    </row>
    <row r="175" spans="2:30" ht="17.5">
      <c r="B175" s="237"/>
      <c r="C175" s="237"/>
      <c r="D175" s="237"/>
      <c r="E175" s="237"/>
      <c r="F175" s="237"/>
      <c r="G175" s="237"/>
      <c r="H175" s="237"/>
      <c r="I175" s="237"/>
      <c r="J175" s="237"/>
      <c r="V175" s="271"/>
      <c r="W175" s="216"/>
      <c r="X175" s="216"/>
      <c r="Y175" s="216"/>
      <c r="Z175" s="216"/>
      <c r="AA175" s="216"/>
      <c r="AB175" s="216"/>
      <c r="AC175" s="216"/>
      <c r="AD175" s="272"/>
    </row>
    <row r="176" spans="2:30" ht="17.5">
      <c r="B176" s="237"/>
      <c r="C176" s="237"/>
      <c r="D176" s="237"/>
      <c r="E176" s="237"/>
      <c r="F176" s="237"/>
      <c r="G176" s="237"/>
      <c r="H176" s="237"/>
      <c r="I176" s="237"/>
      <c r="J176" s="237"/>
      <c r="V176" s="271"/>
      <c r="W176" s="216"/>
      <c r="X176" s="216"/>
      <c r="Y176" s="216"/>
      <c r="Z176" s="216"/>
      <c r="AA176" s="216"/>
      <c r="AB176" s="216"/>
      <c r="AC176" s="216"/>
      <c r="AD176" s="272"/>
    </row>
    <row r="177" spans="2:30" ht="17.5">
      <c r="B177" s="237"/>
      <c r="C177" s="237"/>
      <c r="D177" s="237"/>
      <c r="E177" s="237"/>
      <c r="F177" s="237"/>
      <c r="G177" s="237"/>
      <c r="H177" s="237"/>
      <c r="I177" s="237"/>
      <c r="J177" s="236"/>
      <c r="V177" s="709" t="s">
        <v>1049</v>
      </c>
      <c r="W177" s="710"/>
      <c r="X177" s="710"/>
      <c r="Y177" s="710"/>
      <c r="Z177" s="710"/>
      <c r="AA177" s="710"/>
      <c r="AB177" s="710"/>
      <c r="AC177" s="710"/>
      <c r="AD177" s="711"/>
    </row>
    <row r="178" spans="2:30" ht="17.5">
      <c r="B178" s="237"/>
      <c r="C178" s="237"/>
      <c r="D178" s="237"/>
      <c r="E178" s="237"/>
      <c r="F178" s="237"/>
      <c r="G178" s="237"/>
      <c r="H178" s="237"/>
      <c r="I178" s="237"/>
      <c r="J178" s="337"/>
      <c r="V178" s="287"/>
      <c r="W178" s="288"/>
      <c r="X178" s="288"/>
      <c r="Y178" s="288"/>
      <c r="Z178" s="288"/>
      <c r="AA178" s="288"/>
      <c r="AB178" s="288"/>
      <c r="AC178" s="288"/>
      <c r="AD178" s="289"/>
    </row>
    <row r="179" spans="2:30" ht="17.5">
      <c r="B179" s="236"/>
      <c r="C179" s="236"/>
      <c r="D179" s="236"/>
      <c r="E179" s="236"/>
      <c r="F179" s="236"/>
      <c r="G179" s="236"/>
      <c r="H179" s="236"/>
      <c r="I179" s="236"/>
      <c r="J179" s="337"/>
      <c r="V179" s="271" t="s">
        <v>64</v>
      </c>
      <c r="W179" s="216"/>
      <c r="X179" s="216"/>
      <c r="Y179" s="216"/>
      <c r="Z179" s="216"/>
      <c r="AA179" s="216"/>
      <c r="AB179" s="216"/>
      <c r="AC179" s="216"/>
      <c r="AD179" s="272"/>
    </row>
    <row r="180" spans="2:30" ht="17.5">
      <c r="B180" s="337"/>
      <c r="C180" s="337"/>
      <c r="D180" s="337"/>
      <c r="E180" s="337"/>
      <c r="F180" s="337"/>
      <c r="G180" s="337"/>
      <c r="H180" s="337"/>
      <c r="I180" s="337"/>
      <c r="J180" s="242"/>
      <c r="V180" s="712" t="s">
        <v>1050</v>
      </c>
      <c r="W180" s="713"/>
      <c r="X180" s="713"/>
      <c r="Y180" s="713"/>
      <c r="Z180" s="713"/>
      <c r="AA180" s="713"/>
      <c r="AB180" s="713"/>
      <c r="AC180" s="713"/>
      <c r="AD180" s="714"/>
    </row>
    <row r="181" spans="2:30">
      <c r="B181" s="337"/>
      <c r="C181" s="337"/>
      <c r="D181" s="337"/>
      <c r="E181" s="337"/>
      <c r="F181" s="337"/>
      <c r="G181" s="337"/>
      <c r="H181" s="337"/>
      <c r="I181" s="337"/>
      <c r="J181" s="237"/>
      <c r="V181" s="220"/>
      <c r="AD181" s="221"/>
    </row>
    <row r="182" spans="2:30">
      <c r="B182" s="242"/>
      <c r="C182" s="242"/>
      <c r="D182" s="242"/>
      <c r="E182" s="242"/>
      <c r="F182" s="242"/>
      <c r="G182" s="242"/>
      <c r="H182" s="242"/>
      <c r="I182" s="242"/>
      <c r="J182" s="237"/>
      <c r="V182" s="275"/>
      <c r="W182" s="276"/>
      <c r="X182" s="276"/>
      <c r="Y182" s="276"/>
      <c r="Z182" s="276"/>
      <c r="AA182" s="276"/>
      <c r="AB182" s="276"/>
      <c r="AC182" s="276"/>
      <c r="AD182" s="277"/>
    </row>
    <row r="183" spans="2:30" ht="15.75" customHeight="1">
      <c r="B183" s="237"/>
      <c r="C183" s="237"/>
      <c r="D183" s="237"/>
      <c r="E183" s="237"/>
      <c r="F183" s="237"/>
      <c r="G183" s="237"/>
      <c r="H183" s="237"/>
      <c r="I183" s="237"/>
      <c r="J183" s="236"/>
    </row>
    <row r="184" spans="2:30">
      <c r="B184" s="237"/>
      <c r="C184" s="237"/>
      <c r="D184" s="237"/>
      <c r="E184" s="237"/>
      <c r="F184" s="237"/>
      <c r="G184" s="237"/>
      <c r="H184" s="237"/>
      <c r="I184" s="237"/>
    </row>
    <row r="185" spans="2:30">
      <c r="B185" s="388"/>
      <c r="C185" s="236"/>
      <c r="D185" s="236"/>
      <c r="E185" s="236"/>
      <c r="F185" s="236"/>
      <c r="G185" s="236"/>
      <c r="H185" s="236"/>
      <c r="I185" s="236"/>
      <c r="J185" s="348"/>
    </row>
    <row r="186" spans="2:30">
      <c r="B186" s="236"/>
    </row>
    <row r="187" spans="2:30" ht="18.5">
      <c r="B187" s="348"/>
      <c r="C187" s="348"/>
      <c r="D187" s="348"/>
      <c r="E187" s="348"/>
      <c r="F187" s="348"/>
      <c r="G187" s="348"/>
      <c r="H187" s="348"/>
      <c r="I187" s="348"/>
      <c r="J187" s="343"/>
      <c r="V187" s="283" t="s">
        <v>1037</v>
      </c>
    </row>
    <row r="188" spans="2:30" ht="15.75" customHeight="1">
      <c r="V188" s="217"/>
      <c r="W188" s="218"/>
      <c r="X188" s="218"/>
      <c r="Y188" s="218"/>
      <c r="Z188" s="218"/>
      <c r="AA188" s="218"/>
      <c r="AB188" s="218"/>
      <c r="AC188" s="218"/>
      <c r="AD188" s="219"/>
    </row>
    <row r="189" spans="2:30" ht="17.5">
      <c r="B189" s="343"/>
      <c r="C189" s="343"/>
      <c r="D189" s="343"/>
      <c r="E189" s="343"/>
      <c r="F189" s="343"/>
      <c r="G189" s="343"/>
      <c r="H189" s="343"/>
      <c r="I189" s="343"/>
      <c r="J189" s="260"/>
      <c r="V189" s="271" t="s">
        <v>64</v>
      </c>
      <c r="W189" s="216"/>
      <c r="X189" s="216"/>
      <c r="Y189" s="216"/>
      <c r="Z189" s="216"/>
      <c r="AA189" s="216"/>
      <c r="AB189" s="216"/>
      <c r="AC189" s="216"/>
      <c r="AD189" s="272"/>
    </row>
    <row r="190" spans="2:30" ht="17.5">
      <c r="J190" s="260"/>
      <c r="V190" s="706" t="s">
        <v>1003</v>
      </c>
      <c r="W190" s="707"/>
      <c r="X190" s="707"/>
      <c r="Y190" s="707"/>
      <c r="Z190" s="707"/>
      <c r="AA190" s="707"/>
      <c r="AB190" s="707"/>
      <c r="AC190" s="707"/>
      <c r="AD190" s="708"/>
    </row>
    <row r="191" spans="2:30" ht="17.5">
      <c r="B191" s="397"/>
      <c r="C191" s="259"/>
      <c r="E191" s="260"/>
      <c r="F191" s="741"/>
      <c r="G191" s="741"/>
      <c r="H191" s="269"/>
      <c r="I191" s="267"/>
      <c r="J191" s="260"/>
      <c r="V191" s="709" t="s">
        <v>1108</v>
      </c>
      <c r="W191" s="710"/>
      <c r="X191" s="710"/>
      <c r="Y191" s="710"/>
      <c r="Z191" s="710"/>
      <c r="AA191" s="710"/>
      <c r="AB191" s="710"/>
      <c r="AC191" s="710"/>
      <c r="AD191" s="711"/>
    </row>
    <row r="192" spans="2:30" ht="17.5">
      <c r="B192" s="397"/>
      <c r="C192" s="259"/>
      <c r="E192" s="260"/>
      <c r="F192" s="741"/>
      <c r="G192" s="741"/>
      <c r="H192" s="269"/>
      <c r="I192" s="267"/>
      <c r="J192" s="260"/>
      <c r="V192" s="287"/>
      <c r="W192" s="288"/>
      <c r="X192" s="288"/>
      <c r="Y192" s="288"/>
      <c r="Z192" s="288"/>
      <c r="AA192" s="288"/>
      <c r="AB192" s="288"/>
      <c r="AC192" s="288"/>
      <c r="AD192" s="289"/>
    </row>
    <row r="193" spans="2:30" ht="17.5">
      <c r="B193" s="397"/>
      <c r="C193" s="383"/>
      <c r="E193" s="260"/>
      <c r="F193" s="741"/>
      <c r="G193" s="741"/>
      <c r="H193" s="269"/>
      <c r="I193" s="267"/>
      <c r="V193" s="271" t="s">
        <v>64</v>
      </c>
      <c r="W193" s="216"/>
      <c r="X193" s="216"/>
      <c r="Y193" s="216"/>
      <c r="Z193" s="216"/>
      <c r="AA193" s="216"/>
      <c r="AB193" s="216"/>
      <c r="AC193" s="216"/>
      <c r="AD193" s="272"/>
    </row>
    <row r="194" spans="2:30" ht="17.5">
      <c r="B194" s="376"/>
      <c r="C194" s="216"/>
      <c r="D194" s="260"/>
      <c r="E194" s="259"/>
      <c r="F194" s="259"/>
      <c r="G194" s="260"/>
      <c r="H194" s="216"/>
      <c r="I194" s="267"/>
      <c r="V194" s="271" t="s">
        <v>1124</v>
      </c>
      <c r="W194" s="216"/>
      <c r="X194" s="216"/>
      <c r="Y194" s="216"/>
      <c r="Z194" s="216"/>
      <c r="AA194" s="216"/>
      <c r="AB194" s="216"/>
      <c r="AC194" s="216"/>
      <c r="AD194" s="272"/>
    </row>
    <row r="195" spans="2:30" ht="17.5">
      <c r="V195" s="271" t="s">
        <v>1038</v>
      </c>
      <c r="W195" s="216"/>
      <c r="X195" s="216"/>
      <c r="Y195" s="216"/>
      <c r="Z195" s="216"/>
      <c r="AA195" s="216"/>
      <c r="AB195" s="216"/>
      <c r="AC195" s="216"/>
      <c r="AD195" s="272"/>
    </row>
    <row r="196" spans="2:30" ht="17.5">
      <c r="V196" s="271"/>
      <c r="W196" s="216"/>
      <c r="X196" s="216"/>
      <c r="Y196" s="216"/>
      <c r="Z196" s="216"/>
      <c r="AA196" s="216"/>
      <c r="AB196" s="216"/>
      <c r="AC196" s="216"/>
      <c r="AD196" s="272"/>
    </row>
    <row r="197" spans="2:30" ht="17.5">
      <c r="V197" s="271"/>
      <c r="W197" s="216"/>
      <c r="X197" s="216"/>
      <c r="Y197" s="216"/>
      <c r="Z197" s="216"/>
      <c r="AA197" s="216"/>
      <c r="AB197" s="216"/>
      <c r="AC197" s="216"/>
      <c r="AD197" s="272"/>
    </row>
    <row r="198" spans="2:30" ht="17.5">
      <c r="V198" s="706" t="s">
        <v>1004</v>
      </c>
      <c r="W198" s="707"/>
      <c r="X198" s="707"/>
      <c r="Y198" s="707"/>
      <c r="Z198" s="707"/>
      <c r="AA198" s="707"/>
      <c r="AB198" s="707"/>
      <c r="AC198" s="707"/>
      <c r="AD198" s="708"/>
    </row>
    <row r="199" spans="2:30" ht="17.5">
      <c r="V199" s="284"/>
      <c r="W199" s="285"/>
      <c r="X199" s="285"/>
      <c r="Y199" s="285"/>
      <c r="Z199" s="285"/>
      <c r="AA199" s="285"/>
      <c r="AB199" s="285"/>
      <c r="AC199" s="285"/>
      <c r="AD199" s="286"/>
    </row>
    <row r="200" spans="2:30" ht="17.5">
      <c r="V200" s="271" t="s">
        <v>64</v>
      </c>
      <c r="W200" s="216"/>
      <c r="X200" s="216"/>
      <c r="Y200" s="216"/>
      <c r="Z200" s="216"/>
      <c r="AA200" s="216"/>
      <c r="AB200" s="216"/>
      <c r="AC200" s="216"/>
      <c r="AD200" s="272"/>
    </row>
    <row r="201" spans="2:30" ht="17.5">
      <c r="V201" s="273" t="s">
        <v>1051</v>
      </c>
      <c r="W201" s="216"/>
      <c r="X201" s="216"/>
      <c r="Y201" s="216"/>
      <c r="Z201" s="216"/>
      <c r="AA201" s="216"/>
      <c r="AB201" s="216"/>
      <c r="AC201" s="216"/>
      <c r="AD201" s="272"/>
    </row>
    <row r="202" spans="2:30" ht="17.5">
      <c r="V202" s="271" t="s">
        <v>1052</v>
      </c>
      <c r="W202" s="216"/>
      <c r="X202" s="216"/>
      <c r="Y202" s="216"/>
      <c r="Z202" s="216"/>
      <c r="AA202" s="216"/>
      <c r="AB202" s="216"/>
      <c r="AC202" s="216"/>
      <c r="AD202" s="272"/>
    </row>
    <row r="203" spans="2:30" ht="17.5">
      <c r="V203" s="271" t="s">
        <v>1053</v>
      </c>
      <c r="W203" s="216"/>
      <c r="X203" s="216"/>
      <c r="Y203" s="216"/>
      <c r="Z203" s="216"/>
      <c r="AA203" s="216"/>
      <c r="AB203" s="216"/>
      <c r="AC203" s="216"/>
      <c r="AD203" s="272"/>
    </row>
    <row r="204" spans="2:30" ht="17.5">
      <c r="V204" s="274" t="s">
        <v>1054</v>
      </c>
      <c r="W204" s="216"/>
      <c r="X204" s="216"/>
      <c r="Y204" s="216"/>
      <c r="Z204" s="216"/>
      <c r="AA204" s="216"/>
      <c r="AB204" s="216"/>
      <c r="AC204" s="216"/>
      <c r="AD204" s="272"/>
    </row>
    <row r="205" spans="2:30" ht="17.5">
      <c r="V205" s="271"/>
      <c r="W205" s="216"/>
      <c r="X205" s="216"/>
      <c r="Y205" s="216"/>
      <c r="Z205" s="216"/>
      <c r="AA205" s="216"/>
      <c r="AB205" s="216"/>
      <c r="AC205" s="216"/>
      <c r="AD205" s="272"/>
    </row>
    <row r="206" spans="2:30" ht="17.5">
      <c r="V206" s="273" t="s">
        <v>1055</v>
      </c>
      <c r="W206" s="216"/>
      <c r="X206" s="216"/>
      <c r="Y206" s="216"/>
      <c r="Z206" s="216"/>
      <c r="AA206" s="216"/>
      <c r="AB206" s="216"/>
      <c r="AC206" s="216"/>
      <c r="AD206" s="272"/>
    </row>
    <row r="207" spans="2:30" ht="17.5">
      <c r="V207" s="273"/>
      <c r="W207" s="216"/>
      <c r="X207" s="216"/>
      <c r="Y207" s="216"/>
      <c r="Z207" s="216"/>
      <c r="AA207" s="216"/>
      <c r="AB207" s="216"/>
      <c r="AC207" s="216"/>
      <c r="AD207" s="272"/>
    </row>
    <row r="208" spans="2:30" ht="17.5">
      <c r="V208" s="273" t="s">
        <v>1056</v>
      </c>
      <c r="W208" s="216"/>
      <c r="X208" s="216"/>
      <c r="Y208" s="216"/>
      <c r="Z208" s="216"/>
      <c r="AA208" s="216"/>
      <c r="AB208" s="216"/>
      <c r="AC208" s="216"/>
      <c r="AD208" s="272"/>
    </row>
    <row r="209" spans="22:30" ht="17.5">
      <c r="V209" s="271" t="s">
        <v>64</v>
      </c>
      <c r="W209" s="216"/>
      <c r="X209" s="216"/>
      <c r="Y209" s="216"/>
      <c r="Z209" s="216"/>
      <c r="AA209" s="216"/>
      <c r="AB209" s="216"/>
      <c r="AC209" s="216"/>
      <c r="AD209" s="272"/>
    </row>
    <row r="210" spans="22:30" ht="17.5">
      <c r="V210" s="271" t="s">
        <v>1048</v>
      </c>
      <c r="W210" s="216"/>
      <c r="X210" s="216"/>
      <c r="Y210" s="216"/>
      <c r="Z210" s="216"/>
      <c r="AA210" s="216"/>
      <c r="AB210" s="216"/>
      <c r="AC210" s="216"/>
      <c r="AD210" s="272"/>
    </row>
    <row r="211" spans="22:30" ht="17.5">
      <c r="V211" s="271" t="s">
        <v>1025</v>
      </c>
      <c r="W211" s="216"/>
      <c r="X211" s="216"/>
      <c r="Y211" s="216"/>
      <c r="Z211" s="216"/>
      <c r="AA211" s="216"/>
      <c r="AB211" s="216"/>
      <c r="AC211" s="216"/>
      <c r="AD211" s="272"/>
    </row>
    <row r="212" spans="22:30" ht="17.5">
      <c r="V212" s="271"/>
      <c r="W212" s="216"/>
      <c r="X212" s="216"/>
      <c r="Y212" s="216"/>
      <c r="Z212" s="216"/>
      <c r="AA212" s="216"/>
      <c r="AB212" s="216"/>
      <c r="AC212" s="216"/>
      <c r="AD212" s="272"/>
    </row>
    <row r="213" spans="22:30" ht="17.5">
      <c r="V213" s="271"/>
      <c r="W213" s="216"/>
      <c r="X213" s="216"/>
      <c r="Y213" s="216"/>
      <c r="Z213" s="216"/>
      <c r="AA213" s="216"/>
      <c r="AB213" s="216"/>
      <c r="AC213" s="216"/>
      <c r="AD213" s="272"/>
    </row>
    <row r="214" spans="22:30" ht="17.5">
      <c r="V214" s="709" t="s">
        <v>1049</v>
      </c>
      <c r="W214" s="710"/>
      <c r="X214" s="710"/>
      <c r="Y214" s="710"/>
      <c r="Z214" s="710"/>
      <c r="AA214" s="710"/>
      <c r="AB214" s="710"/>
      <c r="AC214" s="710"/>
      <c r="AD214" s="711"/>
    </row>
    <row r="215" spans="22:30" ht="17.5">
      <c r="V215" s="287"/>
      <c r="W215" s="288"/>
      <c r="X215" s="288"/>
      <c r="Y215" s="288"/>
      <c r="Z215" s="288"/>
      <c r="AA215" s="288"/>
      <c r="AB215" s="288"/>
      <c r="AC215" s="288"/>
      <c r="AD215" s="289"/>
    </row>
    <row r="216" spans="22:30" ht="17.5">
      <c r="V216" s="271" t="s">
        <v>64</v>
      </c>
      <c r="W216" s="216"/>
      <c r="X216" s="216"/>
      <c r="Y216" s="216"/>
      <c r="Z216" s="216"/>
      <c r="AA216" s="216"/>
      <c r="AB216" s="216"/>
      <c r="AC216" s="216"/>
      <c r="AD216" s="272"/>
    </row>
    <row r="217" spans="22:30" ht="17.5">
      <c r="V217" s="712" t="s">
        <v>1050</v>
      </c>
      <c r="W217" s="713"/>
      <c r="X217" s="713"/>
      <c r="Y217" s="713"/>
      <c r="Z217" s="713"/>
      <c r="AA217" s="713"/>
      <c r="AB217" s="713"/>
      <c r="AC217" s="713"/>
      <c r="AD217" s="714"/>
    </row>
    <row r="218" spans="22:30">
      <c r="V218" s="220"/>
      <c r="AD218" s="221"/>
    </row>
    <row r="219" spans="22:30">
      <c r="V219" s="275"/>
      <c r="W219" s="276"/>
      <c r="X219" s="276"/>
      <c r="Y219" s="276"/>
      <c r="Z219" s="276"/>
      <c r="AA219" s="276"/>
      <c r="AB219" s="276"/>
      <c r="AC219" s="276"/>
      <c r="AD219" s="277"/>
    </row>
  </sheetData>
  <mergeCells count="360">
    <mergeCell ref="B130:D130"/>
    <mergeCell ref="B105:J106"/>
    <mergeCell ref="F191:G191"/>
    <mergeCell ref="F192:G192"/>
    <mergeCell ref="F193:G193"/>
    <mergeCell ref="B117:B118"/>
    <mergeCell ref="C117:D117"/>
    <mergeCell ref="E117:G117"/>
    <mergeCell ref="C118:D118"/>
    <mergeCell ref="E118:I118"/>
    <mergeCell ref="B123:B124"/>
    <mergeCell ref="C123:D123"/>
    <mergeCell ref="E124:I124"/>
    <mergeCell ref="E123:I123"/>
    <mergeCell ref="B126:J126"/>
    <mergeCell ref="B129:J129"/>
    <mergeCell ref="B151:J151"/>
    <mergeCell ref="F153:G153"/>
    <mergeCell ref="F155:G155"/>
    <mergeCell ref="F156:G156"/>
    <mergeCell ref="F154:G154"/>
    <mergeCell ref="C122:D122"/>
    <mergeCell ref="E122:G122"/>
    <mergeCell ref="C124:D124"/>
    <mergeCell ref="B115:B116"/>
    <mergeCell ref="C115:D115"/>
    <mergeCell ref="E115:G115"/>
    <mergeCell ref="C116:D116"/>
    <mergeCell ref="E116:I116"/>
    <mergeCell ref="B119:B121"/>
    <mergeCell ref="C119:D119"/>
    <mergeCell ref="E119:G119"/>
    <mergeCell ref="C120:D120"/>
    <mergeCell ref="E120:I120"/>
    <mergeCell ref="C121:D121"/>
    <mergeCell ref="E121:F121"/>
    <mergeCell ref="H121:I121"/>
    <mergeCell ref="C108:E108"/>
    <mergeCell ref="E109:J109"/>
    <mergeCell ref="B110:J110"/>
    <mergeCell ref="B112:J112"/>
    <mergeCell ref="B113:B114"/>
    <mergeCell ref="C113:D113"/>
    <mergeCell ref="E113:G113"/>
    <mergeCell ref="C114:D114"/>
    <mergeCell ref="E114:I114"/>
    <mergeCell ref="B109:D109"/>
    <mergeCell ref="V214:AD214"/>
    <mergeCell ref="V198:AD198"/>
    <mergeCell ref="V217:AD217"/>
    <mergeCell ref="D1:G1"/>
    <mergeCell ref="B5:J5"/>
    <mergeCell ref="L5:T5"/>
    <mergeCell ref="C7:E7"/>
    <mergeCell ref="M7:O7"/>
    <mergeCell ref="C8:D8"/>
    <mergeCell ref="E8:J8"/>
    <mergeCell ref="M8:N8"/>
    <mergeCell ref="O8:T8"/>
    <mergeCell ref="X1:AA1"/>
    <mergeCell ref="V5:AD5"/>
    <mergeCell ref="W7:Y7"/>
    <mergeCell ref="B9:J9"/>
    <mergeCell ref="L9:T9"/>
    <mergeCell ref="B11:J11"/>
    <mergeCell ref="L11:T11"/>
    <mergeCell ref="B12:B13"/>
    <mergeCell ref="C12:D12"/>
    <mergeCell ref="E12:G12"/>
    <mergeCell ref="L12:L13"/>
    <mergeCell ref="M12:N12"/>
    <mergeCell ref="O12:Q12"/>
    <mergeCell ref="C13:D13"/>
    <mergeCell ref="E13:I13"/>
    <mergeCell ref="M13:N13"/>
    <mergeCell ref="O13:S13"/>
    <mergeCell ref="V9:AD9"/>
    <mergeCell ref="V10:AD10"/>
    <mergeCell ref="V11:V12"/>
    <mergeCell ref="W11:X11"/>
    <mergeCell ref="Y11:AA11"/>
    <mergeCell ref="W12:X12"/>
    <mergeCell ref="Y12:AC12"/>
    <mergeCell ref="W16:X16"/>
    <mergeCell ref="Y16:AC16"/>
    <mergeCell ref="W17:X17"/>
    <mergeCell ref="Y17:Z17"/>
    <mergeCell ref="AB17:AC17"/>
    <mergeCell ref="B14:B15"/>
    <mergeCell ref="C14:D14"/>
    <mergeCell ref="E14:G14"/>
    <mergeCell ref="L14:L15"/>
    <mergeCell ref="M14:N14"/>
    <mergeCell ref="O14:Q14"/>
    <mergeCell ref="C15:D15"/>
    <mergeCell ref="E15:I15"/>
    <mergeCell ref="M15:N15"/>
    <mergeCell ref="O15:S15"/>
    <mergeCell ref="V13:V14"/>
    <mergeCell ref="W13:X13"/>
    <mergeCell ref="Y13:AA13"/>
    <mergeCell ref="W14:X14"/>
    <mergeCell ref="Y14:AC14"/>
    <mergeCell ref="C19:D19"/>
    <mergeCell ref="E19:G19"/>
    <mergeCell ref="B20:J20"/>
    <mergeCell ref="L20:T20"/>
    <mergeCell ref="V18:AD18"/>
    <mergeCell ref="B16:B18"/>
    <mergeCell ref="C16:D16"/>
    <mergeCell ref="E16:G16"/>
    <mergeCell ref="L16:L18"/>
    <mergeCell ref="M16:N16"/>
    <mergeCell ref="O16:Q16"/>
    <mergeCell ref="C17:D17"/>
    <mergeCell ref="E17:I17"/>
    <mergeCell ref="M17:N17"/>
    <mergeCell ref="O17:S17"/>
    <mergeCell ref="C18:D18"/>
    <mergeCell ref="E18:F18"/>
    <mergeCell ref="H18:I18"/>
    <mergeCell ref="M18:N18"/>
    <mergeCell ref="O18:P18"/>
    <mergeCell ref="R18:S18"/>
    <mergeCell ref="V15:V17"/>
    <mergeCell ref="W15:X15"/>
    <mergeCell ref="Y15:AA15"/>
    <mergeCell ref="V27:AD27"/>
    <mergeCell ref="V33:W33"/>
    <mergeCell ref="X33:Z33"/>
    <mergeCell ref="B24:J24"/>
    <mergeCell ref="V20:AD20"/>
    <mergeCell ref="AA21:AB21"/>
    <mergeCell ref="V24:AD24"/>
    <mergeCell ref="L24:M24"/>
    <mergeCell ref="N24:O24"/>
    <mergeCell ref="P24:Q24"/>
    <mergeCell ref="R24:S24"/>
    <mergeCell ref="D25:E25"/>
    <mergeCell ref="G25:H25"/>
    <mergeCell ref="L25:M25"/>
    <mergeCell ref="N25:S25"/>
    <mergeCell ref="C21:D21"/>
    <mergeCell ref="G21:H21"/>
    <mergeCell ref="M21:N21"/>
    <mergeCell ref="P21:T21"/>
    <mergeCell ref="L23:M23"/>
    <mergeCell ref="N23:O23"/>
    <mergeCell ref="P23:Q23"/>
    <mergeCell ref="R23:S23"/>
    <mergeCell ref="B29:C29"/>
    <mergeCell ref="B30:J30"/>
    <mergeCell ref="L32:T32"/>
    <mergeCell ref="B31:J31"/>
    <mergeCell ref="L33:T33"/>
    <mergeCell ref="B32:J32"/>
    <mergeCell ref="L34:T34"/>
    <mergeCell ref="B26:J26"/>
    <mergeCell ref="L27:T27"/>
    <mergeCell ref="B27:C27"/>
    <mergeCell ref="N28:O28"/>
    <mergeCell ref="Q28:R28"/>
    <mergeCell ref="B28:C28"/>
    <mergeCell ref="L30:T30"/>
    <mergeCell ref="G29:H29"/>
    <mergeCell ref="V34:W34"/>
    <mergeCell ref="B39:J39"/>
    <mergeCell ref="L39:T39"/>
    <mergeCell ref="B40:J40"/>
    <mergeCell ref="B42:J42"/>
    <mergeCell ref="B43:J43"/>
    <mergeCell ref="B44:J44"/>
    <mergeCell ref="B34:J34"/>
    <mergeCell ref="L36:T36"/>
    <mergeCell ref="B35:J35"/>
    <mergeCell ref="L37:T37"/>
    <mergeCell ref="B38:J38"/>
    <mergeCell ref="L38:T38"/>
    <mergeCell ref="V35:W35"/>
    <mergeCell ref="V38:AD38"/>
    <mergeCell ref="V39:AD39"/>
    <mergeCell ref="AA35:AB35"/>
    <mergeCell ref="B45:J45"/>
    <mergeCell ref="L64:T64"/>
    <mergeCell ref="B72:J72"/>
    <mergeCell ref="L70:T70"/>
    <mergeCell ref="L71:T71"/>
    <mergeCell ref="L72:T72"/>
    <mergeCell ref="V47:V49"/>
    <mergeCell ref="V50:V52"/>
    <mergeCell ref="W52:X52"/>
    <mergeCell ref="W51:X51"/>
    <mergeCell ref="W50:X50"/>
    <mergeCell ref="W49:X49"/>
    <mergeCell ref="W48:X48"/>
    <mergeCell ref="W46:AB46"/>
    <mergeCell ref="W47:X47"/>
    <mergeCell ref="Z47:Z48"/>
    <mergeCell ref="AA49:AB49"/>
    <mergeCell ref="AA48:AB48"/>
    <mergeCell ref="AA47:AB47"/>
    <mergeCell ref="Z50:Z51"/>
    <mergeCell ref="AA52:AB52"/>
    <mergeCell ref="AA51:AB51"/>
    <mergeCell ref="AA50:AB50"/>
    <mergeCell ref="Z58:Z59"/>
    <mergeCell ref="L84:T84"/>
    <mergeCell ref="B88:J88"/>
    <mergeCell ref="B89:J89"/>
    <mergeCell ref="L73:T73"/>
    <mergeCell ref="L74:T74"/>
    <mergeCell ref="B78:J78"/>
    <mergeCell ref="L75:T75"/>
    <mergeCell ref="B79:J79"/>
    <mergeCell ref="L76:T76"/>
    <mergeCell ref="AA58:AB58"/>
    <mergeCell ref="AA59:AB59"/>
    <mergeCell ref="V62:AD62"/>
    <mergeCell ref="V57:AB57"/>
    <mergeCell ref="X60:Y60"/>
    <mergeCell ref="X59:Y59"/>
    <mergeCell ref="X58:Y58"/>
    <mergeCell ref="V133:AD133"/>
    <mergeCell ref="V68:AD68"/>
    <mergeCell ref="V67:AD67"/>
    <mergeCell ref="V66:AD66"/>
    <mergeCell ref="AA60:AB60"/>
    <mergeCell ref="Z135:AA135"/>
    <mergeCell ref="Z136:AA136"/>
    <mergeCell ref="Z138:AA138"/>
    <mergeCell ref="V122:AD122"/>
    <mergeCell ref="B80:J80"/>
    <mergeCell ref="B81:J81"/>
    <mergeCell ref="B82:J82"/>
    <mergeCell ref="B83:J83"/>
    <mergeCell ref="B84:J84"/>
    <mergeCell ref="L81:T81"/>
    <mergeCell ref="L82:T82"/>
    <mergeCell ref="F96:G96"/>
    <mergeCell ref="P93:Q93"/>
    <mergeCell ref="F97:G97"/>
    <mergeCell ref="P94:Q94"/>
    <mergeCell ref="B91:J91"/>
    <mergeCell ref="L88:T88"/>
    <mergeCell ref="B93:J93"/>
    <mergeCell ref="L90:T90"/>
    <mergeCell ref="F95:G95"/>
    <mergeCell ref="P92:Q92"/>
    <mergeCell ref="B86:J86"/>
    <mergeCell ref="L83:T83"/>
    <mergeCell ref="B87:J87"/>
    <mergeCell ref="V157:AD157"/>
    <mergeCell ref="V177:AD177"/>
    <mergeCell ref="V180:AD180"/>
    <mergeCell ref="V190:AD190"/>
    <mergeCell ref="V191:AD191"/>
    <mergeCell ref="V63:AD63"/>
    <mergeCell ref="V121:AD121"/>
    <mergeCell ref="V120:AD120"/>
    <mergeCell ref="V115:AD115"/>
    <mergeCell ref="V114:AD114"/>
    <mergeCell ref="V113:AD113"/>
    <mergeCell ref="V112:AD112"/>
    <mergeCell ref="V111:AD111"/>
    <mergeCell ref="V73:AD73"/>
    <mergeCell ref="V125:AD125"/>
    <mergeCell ref="V149:AD149"/>
    <mergeCell ref="V150:AD150"/>
    <mergeCell ref="V110:AD110"/>
    <mergeCell ref="V109:AD109"/>
    <mergeCell ref="V103:AD103"/>
    <mergeCell ref="V72:AD72"/>
    <mergeCell ref="V70:AD70"/>
    <mergeCell ref="V69:AD69"/>
    <mergeCell ref="V127:AD127"/>
    <mergeCell ref="AH1:AK1"/>
    <mergeCell ref="AF5:AN5"/>
    <mergeCell ref="AG7:AI7"/>
    <mergeCell ref="AF9:AN9"/>
    <mergeCell ref="AF10:AN10"/>
    <mergeCell ref="AF11:AF12"/>
    <mergeCell ref="AG11:AH11"/>
    <mergeCell ref="AI11:AK11"/>
    <mergeCell ref="AG12:AH12"/>
    <mergeCell ref="AI12:AM12"/>
    <mergeCell ref="AF18:AN18"/>
    <mergeCell ref="AF20:AN20"/>
    <mergeCell ref="AK21:AL21"/>
    <mergeCell ref="AF24:AN24"/>
    <mergeCell ref="AF27:AN27"/>
    <mergeCell ref="AF34:AG34"/>
    <mergeCell ref="AF35:AG35"/>
    <mergeCell ref="AF13:AF14"/>
    <mergeCell ref="AG13:AH13"/>
    <mergeCell ref="AI13:AK13"/>
    <mergeCell ref="AG14:AH14"/>
    <mergeCell ref="AI14:AM14"/>
    <mergeCell ref="AF15:AF17"/>
    <mergeCell ref="AG15:AH15"/>
    <mergeCell ref="AI15:AK15"/>
    <mergeCell ref="AG16:AH16"/>
    <mergeCell ref="AI16:AM16"/>
    <mergeCell ref="AG17:AH17"/>
    <mergeCell ref="AI17:AJ17"/>
    <mergeCell ref="AL17:AM17"/>
    <mergeCell ref="AG50:AH50"/>
    <mergeCell ref="AK50:AL50"/>
    <mergeCell ref="AG51:AH51"/>
    <mergeCell ref="AK51:AL51"/>
    <mergeCell ref="AG52:AH52"/>
    <mergeCell ref="AK52:AL52"/>
    <mergeCell ref="AF39:AN39"/>
    <mergeCell ref="AG48:AH48"/>
    <mergeCell ref="AK48:AL48"/>
    <mergeCell ref="AG49:AH49"/>
    <mergeCell ref="AK49:AL49"/>
    <mergeCell ref="AF67:AN67"/>
    <mergeCell ref="AF68:AN68"/>
    <mergeCell ref="AF69:AN69"/>
    <mergeCell ref="AF70:AN70"/>
    <mergeCell ref="AF73:AN73"/>
    <mergeCell ref="AF104:AN104"/>
    <mergeCell ref="AH59:AI59"/>
    <mergeCell ref="AK59:AL59"/>
    <mergeCell ref="AH60:AI60"/>
    <mergeCell ref="AK60:AL60"/>
    <mergeCell ref="AF63:AN63"/>
    <mergeCell ref="AF110:AN110"/>
    <mergeCell ref="AF111:AN111"/>
    <mergeCell ref="AF112:AN112"/>
    <mergeCell ref="AF113:AN113"/>
    <mergeCell ref="AF114:AN114"/>
    <mergeCell ref="AF115:AN115"/>
    <mergeCell ref="AF121:AN121"/>
    <mergeCell ref="AF122:AN122"/>
    <mergeCell ref="AF116:AN116"/>
    <mergeCell ref="B98:H98"/>
    <mergeCell ref="AF124:AN124"/>
    <mergeCell ref="AF126:AN126"/>
    <mergeCell ref="AF132:AN132"/>
    <mergeCell ref="AJ134:AK134"/>
    <mergeCell ref="AJ137:AK137"/>
    <mergeCell ref="AH34:AJ34"/>
    <mergeCell ref="AF36:AG36"/>
    <mergeCell ref="AF40:AN40"/>
    <mergeCell ref="AG47:AL47"/>
    <mergeCell ref="AF48:AF50"/>
    <mergeCell ref="AJ48:AJ49"/>
    <mergeCell ref="AF51:AF53"/>
    <mergeCell ref="AJ51:AJ52"/>
    <mergeCell ref="AG53:AH53"/>
    <mergeCell ref="AK53:AL53"/>
    <mergeCell ref="AF58:AL58"/>
    <mergeCell ref="AJ59:AJ60"/>
    <mergeCell ref="AH61:AI61"/>
    <mergeCell ref="AK61:AL61"/>
    <mergeCell ref="AF64:AN64"/>
    <mergeCell ref="AF71:AN71"/>
    <mergeCell ref="AF74:AN74"/>
    <mergeCell ref="AJ135:AK135"/>
  </mergeCells>
  <phoneticPr fontId="4" type="noConversion"/>
  <dataValidations count="2">
    <dataValidation type="list" allowBlank="1" showInputMessage="1" showErrorMessage="1" sqref="AH36 X35 D29" xr:uid="{00000000-0002-0000-0100-000000000000}">
      <formula1>"시급,일급,월급"</formula1>
    </dataValidation>
    <dataValidation allowBlank="1" showInputMessage="1" showErrorMessage="1" prompt="yymmdd_x000a_(년-월-일)" sqref="D25:E25 G25:H25 Y26 AA26 N28:O29 Q28:R29 G130 I130 E130 AI26 AK26" xr:uid="{00000000-0002-0000-0100-000001000000}"/>
  </dataValidations>
  <printOptions horizontalCentered="1"/>
  <pageMargins left="0.23622047244094502" right="0.23622047244094502" top="0.74803149606299202" bottom="0.74803149606299202" header="0.31496062992126" footer="0.31496062992126"/>
  <pageSetup paperSize="9" scale="46"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고용계약서_참여연구자">
                <anchor moveWithCells="1" sizeWithCells="1">
                  <from>
                    <xdr:col>4</xdr:col>
                    <xdr:colOff>285750</xdr:colOff>
                    <xdr:row>99</xdr:row>
                    <xdr:rowOff>19050</xdr:rowOff>
                  </from>
                  <to>
                    <xdr:col>6</xdr:col>
                    <xdr:colOff>952500</xdr:colOff>
                    <xdr:row>100</xdr:row>
                    <xdr:rowOff>184150</xdr:rowOff>
                  </to>
                </anchor>
              </controlPr>
            </control>
          </mc:Choice>
        </mc:AlternateContent>
        <mc:AlternateContent xmlns:mc="http://schemas.openxmlformats.org/markup-compatibility/2006">
          <mc:Choice Requires="x14">
            <control shapeId="4104" r:id="rId5" name="Button 8">
              <controlPr defaultSize="0" print="0" autoFill="0" autoPict="0" macro="[0]!고용계약서_연구근접지원인력">
                <anchor moveWithCells="1" sizeWithCells="1">
                  <from>
                    <xdr:col>24</xdr:col>
                    <xdr:colOff>755650</xdr:colOff>
                    <xdr:row>141</xdr:row>
                    <xdr:rowOff>152400</xdr:rowOff>
                  </from>
                  <to>
                    <xdr:col>27</xdr:col>
                    <xdr:colOff>342900</xdr:colOff>
                    <xdr:row>143</xdr:row>
                    <xdr:rowOff>107950</xdr:rowOff>
                  </to>
                </anchor>
              </controlPr>
            </control>
          </mc:Choice>
        </mc:AlternateContent>
        <mc:AlternateContent xmlns:mc="http://schemas.openxmlformats.org/markup-compatibility/2006">
          <mc:Choice Requires="x14">
            <control shapeId="4106" r:id="rId6" name="Button 10">
              <controlPr defaultSize="0" print="0" autoFill="0" autoPict="0" macro="[0]!계약내용고지확인서_복수">
                <anchor moveWithCells="1" sizeWithCells="1">
                  <from>
                    <xdr:col>24</xdr:col>
                    <xdr:colOff>209550</xdr:colOff>
                    <xdr:row>219</xdr:row>
                    <xdr:rowOff>165100</xdr:rowOff>
                  </from>
                  <to>
                    <xdr:col>28</xdr:col>
                    <xdr:colOff>660400</xdr:colOff>
                    <xdr:row>221</xdr:row>
                    <xdr:rowOff>114300</xdr:rowOff>
                  </to>
                </anchor>
              </controlPr>
            </control>
          </mc:Choice>
        </mc:AlternateContent>
        <mc:AlternateContent xmlns:mc="http://schemas.openxmlformats.org/markup-compatibility/2006">
          <mc:Choice Requires="x14">
            <control shapeId="4107" r:id="rId7" name="Button 11">
              <controlPr defaultSize="0" print="0" autoFill="0" autoPict="0" macro="[0]!계약내용고지확인서_단일">
                <anchor moveWithCells="1" sizeWithCells="1">
                  <from>
                    <xdr:col>24</xdr:col>
                    <xdr:colOff>323850</xdr:colOff>
                    <xdr:row>182</xdr:row>
                    <xdr:rowOff>95250</xdr:rowOff>
                  </from>
                  <to>
                    <xdr:col>28</xdr:col>
                    <xdr:colOff>774700</xdr:colOff>
                    <xdr:row>184</xdr:row>
                    <xdr:rowOff>50800</xdr:rowOff>
                  </to>
                </anchor>
              </controlPr>
            </control>
          </mc:Choice>
        </mc:AlternateContent>
        <mc:AlternateContent xmlns:mc="http://schemas.openxmlformats.org/markup-compatibility/2006">
          <mc:Choice Requires="x14">
            <control shapeId="4102" r:id="rId8" name="Button 6">
              <controlPr defaultSize="0" print="0" autoFill="0" autoPict="0" macro="[0]!참여계약서">
                <anchor moveWithCells="1" sizeWithCells="1">
                  <from>
                    <xdr:col>14</xdr:col>
                    <xdr:colOff>704850</xdr:colOff>
                    <xdr:row>96</xdr:row>
                    <xdr:rowOff>19050</xdr:rowOff>
                  </from>
                  <to>
                    <xdr:col>17</xdr:col>
                    <xdr:colOff>298450</xdr:colOff>
                    <xdr:row>97</xdr:row>
                    <xdr:rowOff>184150</xdr:rowOff>
                  </to>
                </anchor>
              </controlPr>
            </control>
          </mc:Choice>
        </mc:AlternateContent>
        <mc:AlternateContent xmlns:mc="http://schemas.openxmlformats.org/markup-compatibility/2006">
          <mc:Choice Requires="x14">
            <control shapeId="4109" r:id="rId9" name="Button 13">
              <controlPr defaultSize="0" print="0" autoFill="0" autoPict="0" macro="[0]!연구과제참여합의서">
                <anchor moveWithCells="1" sizeWithCells="1">
                  <from>
                    <xdr:col>4</xdr:col>
                    <xdr:colOff>742950</xdr:colOff>
                    <xdr:row>157</xdr:row>
                    <xdr:rowOff>184150</xdr:rowOff>
                  </from>
                  <to>
                    <xdr:col>7</xdr:col>
                    <xdr:colOff>336550</xdr:colOff>
                    <xdr:row>159</xdr:row>
                    <xdr:rowOff>107950</xdr:rowOff>
                  </to>
                </anchor>
              </controlPr>
            </control>
          </mc:Choice>
        </mc:AlternateContent>
        <mc:AlternateContent xmlns:mc="http://schemas.openxmlformats.org/markup-compatibility/2006">
          <mc:Choice Requires="x14">
            <control shapeId="4113" r:id="rId10" name="Button 17">
              <controlPr defaultSize="0" print="0" autoFill="0" autoPict="0" macro="[0]!고용계약서_연구근접지원인력">
                <anchor moveWithCells="1" sizeWithCells="1">
                  <from>
                    <xdr:col>34</xdr:col>
                    <xdr:colOff>755650</xdr:colOff>
                    <xdr:row>140</xdr:row>
                    <xdr:rowOff>152400</xdr:rowOff>
                  </from>
                  <to>
                    <xdr:col>37</xdr:col>
                    <xdr:colOff>342900</xdr:colOff>
                    <xdr:row>142</xdr:row>
                    <xdr:rowOff>107950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BD852-C4F2-4C0A-A1E4-C858B301D8AA}">
  <sheetPr codeName="Sheet21">
    <tabColor theme="4" tint="-0.499984740745262"/>
    <pageSetUpPr fitToPage="1"/>
  </sheetPr>
  <dimension ref="A1:K120"/>
  <sheetViews>
    <sheetView showGridLines="0" zoomScaleNormal="100" workbookViewId="0">
      <selection activeCell="N11" sqref="N11"/>
    </sheetView>
  </sheetViews>
  <sheetFormatPr defaultColWidth="9" defaultRowHeight="16"/>
  <cols>
    <col min="1" max="1" width="1.25" style="215" customWidth="1"/>
    <col min="2" max="2" width="13.08203125" style="214" customWidth="1"/>
    <col min="3" max="3" width="6.25" style="214" customWidth="1"/>
    <col min="4" max="4" width="9" style="214"/>
    <col min="5" max="5" width="13.75" style="214" customWidth="1"/>
    <col min="6" max="6" width="10.6640625" style="214" customWidth="1"/>
    <col min="7" max="7" width="14.08203125" style="214" customWidth="1"/>
    <col min="8" max="8" width="9.4140625" style="214" customWidth="1"/>
    <col min="9" max="9" width="16.75" style="214" customWidth="1"/>
    <col min="10" max="10" width="16" style="214" customWidth="1"/>
    <col min="11" max="11" width="1.25" style="215" customWidth="1"/>
    <col min="12" max="16384" width="9" style="216"/>
  </cols>
  <sheetData>
    <row r="1" spans="1:11" ht="33" customHeight="1">
      <c r="D1" s="699"/>
      <c r="E1" s="699"/>
      <c r="F1" s="699"/>
      <c r="G1" s="699"/>
    </row>
    <row r="2" spans="1:11" s="212" customFormat="1" ht="27.75" customHeight="1">
      <c r="A2" s="211"/>
      <c r="B2" s="209" t="s">
        <v>1026</v>
      </c>
      <c r="C2" s="210"/>
      <c r="D2" s="210"/>
      <c r="E2" s="210"/>
      <c r="F2" s="210"/>
      <c r="G2" s="210"/>
      <c r="H2" s="210"/>
      <c r="I2" s="210"/>
      <c r="J2" s="210"/>
      <c r="K2" s="211"/>
    </row>
    <row r="3" spans="1:11" s="212" customFormat="1" ht="27.75" customHeight="1">
      <c r="A3" s="211"/>
      <c r="B3" s="209" t="s">
        <v>46</v>
      </c>
      <c r="C3" s="210"/>
      <c r="D3" s="210"/>
      <c r="E3" s="210"/>
      <c r="F3" s="210"/>
      <c r="G3" s="210"/>
      <c r="H3" s="210"/>
      <c r="I3" s="210"/>
      <c r="J3" s="210"/>
      <c r="K3" s="211"/>
    </row>
    <row r="4" spans="1:11">
      <c r="B4" s="217"/>
      <c r="C4" s="218"/>
      <c r="D4" s="218"/>
      <c r="E4" s="218"/>
      <c r="F4" s="218"/>
      <c r="G4" s="218"/>
      <c r="H4" s="218"/>
      <c r="I4" s="218"/>
      <c r="J4" s="219"/>
    </row>
    <row r="5" spans="1:11" ht="68.25" customHeight="1">
      <c r="B5" s="700" t="s">
        <v>1128</v>
      </c>
      <c r="C5" s="701"/>
      <c r="D5" s="701"/>
      <c r="E5" s="701"/>
      <c r="F5" s="701"/>
      <c r="G5" s="701"/>
      <c r="H5" s="701"/>
      <c r="I5" s="701"/>
      <c r="J5" s="702"/>
    </row>
    <row r="6" spans="1:11">
      <c r="B6" s="220"/>
      <c r="J6" s="221"/>
    </row>
    <row r="7" spans="1:11" ht="16.5" customHeight="1">
      <c r="B7" s="220" t="s">
        <v>48</v>
      </c>
      <c r="C7" s="692" t="s">
        <v>809</v>
      </c>
      <c r="D7" s="692"/>
      <c r="E7" s="692"/>
      <c r="F7" s="216" t="s">
        <v>50</v>
      </c>
      <c r="G7" s="215"/>
      <c r="H7" s="215"/>
      <c r="I7" s="354" t="s">
        <v>51</v>
      </c>
      <c r="J7" s="222" t="s">
        <v>52</v>
      </c>
    </row>
    <row r="8" spans="1:11" ht="16.5" customHeight="1">
      <c r="B8" s="381" t="s">
        <v>1099</v>
      </c>
      <c r="C8" s="726" t="s">
        <v>51</v>
      </c>
      <c r="D8" s="726"/>
      <c r="E8" s="704" t="s">
        <v>53</v>
      </c>
      <c r="F8" s="704"/>
      <c r="G8" s="704"/>
      <c r="H8" s="704"/>
      <c r="I8" s="704"/>
      <c r="J8" s="705"/>
    </row>
    <row r="9" spans="1:11" ht="16.5" customHeight="1">
      <c r="B9" s="703" t="s">
        <v>55</v>
      </c>
      <c r="C9" s="704"/>
      <c r="D9" s="704"/>
      <c r="E9" s="704"/>
      <c r="F9" s="704"/>
      <c r="G9" s="704"/>
      <c r="H9" s="704"/>
      <c r="I9" s="704"/>
      <c r="J9" s="705"/>
    </row>
    <row r="10" spans="1:11">
      <c r="B10" s="226"/>
      <c r="C10" s="215"/>
      <c r="D10" s="215"/>
      <c r="E10" s="215"/>
      <c r="F10" s="215"/>
      <c r="G10" s="215"/>
      <c r="H10" s="215"/>
      <c r="I10" s="215"/>
      <c r="J10" s="222"/>
    </row>
    <row r="11" spans="1:11" ht="16.5" customHeight="1">
      <c r="A11" s="227"/>
      <c r="B11" s="689" t="s">
        <v>56</v>
      </c>
      <c r="C11" s="690"/>
      <c r="D11" s="690"/>
      <c r="E11" s="690"/>
      <c r="F11" s="690"/>
      <c r="G11" s="690"/>
      <c r="H11" s="690"/>
      <c r="I11" s="690"/>
      <c r="J11" s="691"/>
      <c r="K11" s="227"/>
    </row>
    <row r="12" spans="1:11" ht="16.5" customHeight="1">
      <c r="B12" s="695" t="s">
        <v>57</v>
      </c>
      <c r="C12" s="696" t="s">
        <v>58</v>
      </c>
      <c r="D12" s="696"/>
      <c r="E12" s="697" t="str">
        <f>C7</f>
        <v>○○○○○(기관명)</v>
      </c>
      <c r="F12" s="697"/>
      <c r="G12" s="697"/>
      <c r="H12" s="355" t="s">
        <v>59</v>
      </c>
      <c r="I12" s="356" t="s">
        <v>51</v>
      </c>
      <c r="J12" s="221"/>
    </row>
    <row r="13" spans="1:11">
      <c r="B13" s="695"/>
      <c r="C13" s="696" t="s">
        <v>61</v>
      </c>
      <c r="D13" s="696"/>
      <c r="E13" s="697" t="s">
        <v>847</v>
      </c>
      <c r="F13" s="697"/>
      <c r="G13" s="697"/>
      <c r="H13" s="697"/>
      <c r="I13" s="697"/>
      <c r="J13" s="221"/>
    </row>
    <row r="14" spans="1:11" ht="16.5" customHeight="1">
      <c r="B14" s="695" t="s">
        <v>62</v>
      </c>
      <c r="C14" s="696" t="s">
        <v>63</v>
      </c>
      <c r="D14" s="696"/>
      <c r="E14" s="697" t="s">
        <v>49</v>
      </c>
      <c r="F14" s="697"/>
      <c r="G14" s="697"/>
      <c r="H14" s="355" t="s">
        <v>59</v>
      </c>
      <c r="I14" s="356" t="str">
        <f>I7</f>
        <v>○○○</v>
      </c>
      <c r="J14" s="221"/>
    </row>
    <row r="15" spans="1:11">
      <c r="B15" s="695"/>
      <c r="C15" s="696" t="s">
        <v>61</v>
      </c>
      <c r="D15" s="696"/>
      <c r="E15" s="697" t="s">
        <v>193</v>
      </c>
      <c r="F15" s="697"/>
      <c r="G15" s="697"/>
      <c r="H15" s="697"/>
      <c r="I15" s="697"/>
      <c r="J15" s="221"/>
    </row>
    <row r="16" spans="1:11" ht="16.5" customHeight="1">
      <c r="B16" s="729" t="s">
        <v>1129</v>
      </c>
      <c r="C16" s="696" t="s">
        <v>63</v>
      </c>
      <c r="D16" s="696"/>
      <c r="E16" s="697" t="str">
        <f>C7</f>
        <v>○○○○○(기관명)</v>
      </c>
      <c r="F16" s="697"/>
      <c r="G16" s="697"/>
      <c r="H16" s="355" t="s">
        <v>59</v>
      </c>
      <c r="I16" s="356" t="str">
        <f>C8</f>
        <v>○○○</v>
      </c>
      <c r="J16" s="221"/>
    </row>
    <row r="17" spans="2:10">
      <c r="B17" s="729"/>
      <c r="C17" s="696" t="s">
        <v>61</v>
      </c>
      <c r="D17" s="696"/>
      <c r="E17" s="697" t="s">
        <v>850</v>
      </c>
      <c r="F17" s="697"/>
      <c r="G17" s="697"/>
      <c r="H17" s="697"/>
      <c r="I17" s="697"/>
      <c r="J17" s="221"/>
    </row>
    <row r="18" spans="2:10">
      <c r="B18" s="729"/>
      <c r="C18" s="696" t="s">
        <v>65</v>
      </c>
      <c r="D18" s="696"/>
      <c r="E18" s="697" t="s">
        <v>851</v>
      </c>
      <c r="F18" s="697"/>
      <c r="G18" s="355" t="s">
        <v>66</v>
      </c>
      <c r="H18" s="698">
        <v>0</v>
      </c>
      <c r="I18" s="698"/>
      <c r="J18" s="221"/>
    </row>
    <row r="19" spans="2:10" ht="16.5" customHeight="1">
      <c r="B19" s="336" t="s">
        <v>64</v>
      </c>
      <c r="C19" s="684" t="s">
        <v>64</v>
      </c>
      <c r="D19" s="684"/>
      <c r="E19" s="684" t="s">
        <v>64</v>
      </c>
      <c r="F19" s="684"/>
      <c r="G19" s="684"/>
      <c r="H19" s="337" t="s">
        <v>64</v>
      </c>
      <c r="I19" s="337" t="s">
        <v>64</v>
      </c>
      <c r="J19" s="221"/>
    </row>
    <row r="20" spans="2:10" ht="16.5" customHeight="1">
      <c r="B20" s="689" t="s">
        <v>67</v>
      </c>
      <c r="C20" s="690"/>
      <c r="D20" s="690"/>
      <c r="E20" s="690"/>
      <c r="F20" s="690"/>
      <c r="G20" s="690"/>
      <c r="H20" s="690"/>
      <c r="I20" s="690"/>
      <c r="J20" s="691"/>
    </row>
    <row r="21" spans="2:10" ht="16.5" customHeight="1">
      <c r="B21" s="229" t="s">
        <v>69</v>
      </c>
      <c r="C21" s="692" t="s">
        <v>852</v>
      </c>
      <c r="D21" s="692"/>
      <c r="E21" s="233" t="s">
        <v>70</v>
      </c>
      <c r="F21" s="233" t="s">
        <v>71</v>
      </c>
      <c r="G21" s="692" t="str">
        <f>E12</f>
        <v>○○○○○(기관명)</v>
      </c>
      <c r="H21" s="692"/>
      <c r="I21" s="233" t="s">
        <v>72</v>
      </c>
      <c r="J21" s="234"/>
    </row>
    <row r="22" spans="2:10">
      <c r="B22" s="235" t="s">
        <v>74</v>
      </c>
      <c r="C22" s="337"/>
      <c r="D22" s="337"/>
      <c r="E22" s="337"/>
      <c r="F22" s="337"/>
      <c r="G22" s="337"/>
      <c r="H22" s="337"/>
      <c r="I22" s="337"/>
      <c r="J22" s="338"/>
    </row>
    <row r="23" spans="2:10">
      <c r="B23" s="235"/>
      <c r="C23" s="337"/>
      <c r="D23" s="337"/>
      <c r="E23" s="337"/>
      <c r="F23" s="337"/>
      <c r="G23" s="337"/>
      <c r="H23" s="337"/>
      <c r="I23" s="337"/>
      <c r="J23" s="338"/>
    </row>
    <row r="24" spans="2:10">
      <c r="B24" s="680" t="s">
        <v>77</v>
      </c>
      <c r="C24" s="681"/>
      <c r="D24" s="681"/>
      <c r="E24" s="681"/>
      <c r="F24" s="681"/>
      <c r="G24" s="681"/>
      <c r="H24" s="681"/>
      <c r="I24" s="681"/>
      <c r="J24" s="682"/>
    </row>
    <row r="25" spans="2:10" ht="16.5" customHeight="1">
      <c r="B25" s="239" t="s">
        <v>80</v>
      </c>
      <c r="C25" s="240"/>
      <c r="D25" s="719" t="s">
        <v>854</v>
      </c>
      <c r="E25" s="719"/>
      <c r="F25" s="240" t="s">
        <v>81</v>
      </c>
      <c r="G25" s="719" t="s">
        <v>854</v>
      </c>
      <c r="H25" s="719"/>
      <c r="I25" s="240" t="s">
        <v>82</v>
      </c>
      <c r="J25" s="241"/>
    </row>
    <row r="26" spans="2:10">
      <c r="B26" s="683" t="s">
        <v>943</v>
      </c>
      <c r="C26" s="684"/>
      <c r="D26" s="684"/>
      <c r="E26" s="684"/>
      <c r="F26" s="684"/>
      <c r="G26" s="684"/>
      <c r="H26" s="684"/>
      <c r="I26" s="684"/>
      <c r="J26" s="685"/>
    </row>
    <row r="27" spans="2:10">
      <c r="B27" s="693" t="s">
        <v>84</v>
      </c>
      <c r="C27" s="694"/>
      <c r="D27" s="243" t="s">
        <v>853</v>
      </c>
      <c r="E27" s="240" t="s">
        <v>81</v>
      </c>
      <c r="F27" s="244" t="s">
        <v>853</v>
      </c>
      <c r="G27" s="240" t="s">
        <v>85</v>
      </c>
      <c r="H27" s="240"/>
      <c r="I27" s="240"/>
      <c r="J27" s="241"/>
    </row>
    <row r="28" spans="2:10">
      <c r="B28" s="693" t="s">
        <v>86</v>
      </c>
      <c r="C28" s="694"/>
      <c r="D28" s="245" t="s">
        <v>855</v>
      </c>
      <c r="E28" s="240" t="s">
        <v>887</v>
      </c>
      <c r="F28" s="246" t="s">
        <v>888</v>
      </c>
      <c r="G28" s="245" t="s">
        <v>1584</v>
      </c>
      <c r="H28" s="240" t="s">
        <v>87</v>
      </c>
      <c r="I28" s="240"/>
      <c r="J28" s="241"/>
    </row>
    <row r="29" spans="2:10" ht="16.5" customHeight="1">
      <c r="B29" s="662" t="s">
        <v>89</v>
      </c>
      <c r="C29" s="663"/>
      <c r="D29" s="233" t="s">
        <v>90</v>
      </c>
      <c r="E29" s="247">
        <v>1234567</v>
      </c>
      <c r="F29" s="233" t="s">
        <v>91</v>
      </c>
      <c r="G29" s="718" t="s">
        <v>1585</v>
      </c>
      <c r="H29" s="718"/>
      <c r="I29" s="233"/>
      <c r="J29" s="234"/>
    </row>
    <row r="30" spans="2:10">
      <c r="B30" s="683" t="s">
        <v>94</v>
      </c>
      <c r="C30" s="661"/>
      <c r="D30" s="661"/>
      <c r="E30" s="661"/>
      <c r="F30" s="661"/>
      <c r="G30" s="661"/>
      <c r="H30" s="661"/>
      <c r="I30" s="661"/>
      <c r="J30" s="665"/>
    </row>
    <row r="31" spans="2:10">
      <c r="B31" s="664" t="s">
        <v>96</v>
      </c>
      <c r="C31" s="661"/>
      <c r="D31" s="661"/>
      <c r="E31" s="661"/>
      <c r="F31" s="661"/>
      <c r="G31" s="661"/>
      <c r="H31" s="661"/>
      <c r="I31" s="661"/>
      <c r="J31" s="665"/>
    </row>
    <row r="32" spans="2:10">
      <c r="B32" s="664" t="s">
        <v>97</v>
      </c>
      <c r="C32" s="661"/>
      <c r="D32" s="661"/>
      <c r="E32" s="661"/>
      <c r="F32" s="661"/>
      <c r="G32" s="661"/>
      <c r="H32" s="661"/>
      <c r="I32" s="661"/>
      <c r="J32" s="665"/>
    </row>
    <row r="33" spans="2:10">
      <c r="B33" s="235"/>
      <c r="C33" s="237"/>
      <c r="D33" s="237"/>
      <c r="E33" s="237"/>
      <c r="F33" s="237"/>
      <c r="G33" s="237"/>
      <c r="H33" s="237"/>
      <c r="I33" s="237"/>
      <c r="J33" s="333"/>
    </row>
    <row r="34" spans="2:10">
      <c r="B34" s="251" t="s">
        <v>976</v>
      </c>
      <c r="C34" s="240"/>
      <c r="D34" s="240"/>
      <c r="E34" s="240"/>
      <c r="F34" s="240"/>
      <c r="G34" s="240"/>
      <c r="H34" s="240"/>
      <c r="I34" s="240"/>
      <c r="J34" s="241"/>
    </row>
    <row r="35" spans="2:10">
      <c r="B35" s="235" t="s">
        <v>960</v>
      </c>
      <c r="C35" s="240"/>
      <c r="D35" s="240"/>
      <c r="E35" s="240"/>
      <c r="F35" s="240"/>
      <c r="G35" s="240"/>
      <c r="H35" s="240"/>
      <c r="I35" s="240"/>
      <c r="J35" s="241"/>
    </row>
    <row r="36" spans="2:10">
      <c r="B36" s="252" t="s">
        <v>261</v>
      </c>
      <c r="C36" s="666" t="s">
        <v>966</v>
      </c>
      <c r="D36" s="667"/>
      <c r="E36" s="667"/>
      <c r="F36" s="667"/>
      <c r="G36" s="667"/>
      <c r="H36" s="668"/>
      <c r="I36" s="387" t="s">
        <v>1102</v>
      </c>
      <c r="J36" s="252" t="s">
        <v>967</v>
      </c>
    </row>
    <row r="37" spans="2:10">
      <c r="B37" s="669" t="s">
        <v>963</v>
      </c>
      <c r="C37" s="672" t="s">
        <v>78</v>
      </c>
      <c r="D37" s="673"/>
      <c r="E37" s="253"/>
      <c r="F37" s="669" t="s">
        <v>79</v>
      </c>
      <c r="G37" s="672" t="s">
        <v>973</v>
      </c>
      <c r="H37" s="673"/>
      <c r="I37" s="254"/>
      <c r="J37" s="255"/>
    </row>
    <row r="38" spans="2:10">
      <c r="B38" s="670"/>
      <c r="C38" s="672" t="s">
        <v>969</v>
      </c>
      <c r="D38" s="673"/>
      <c r="E38" s="281"/>
      <c r="F38" s="671"/>
      <c r="G38" s="672" t="s">
        <v>974</v>
      </c>
      <c r="H38" s="673"/>
      <c r="I38" s="254"/>
      <c r="J38" s="255"/>
    </row>
    <row r="39" spans="2:10">
      <c r="B39" s="671"/>
      <c r="C39" s="672" t="s">
        <v>970</v>
      </c>
      <c r="D39" s="673"/>
      <c r="E39" s="253"/>
      <c r="F39" s="252" t="s">
        <v>972</v>
      </c>
      <c r="G39" s="672"/>
      <c r="H39" s="673"/>
      <c r="I39" s="254"/>
      <c r="J39" s="255"/>
    </row>
    <row r="40" spans="2:10">
      <c r="B40" s="669" t="s">
        <v>965</v>
      </c>
      <c r="C40" s="672" t="s">
        <v>78</v>
      </c>
      <c r="D40" s="673"/>
      <c r="E40" s="253"/>
      <c r="F40" s="669" t="s">
        <v>79</v>
      </c>
      <c r="G40" s="672" t="s">
        <v>973</v>
      </c>
      <c r="H40" s="673"/>
      <c r="I40" s="254"/>
      <c r="J40" s="255"/>
    </row>
    <row r="41" spans="2:10">
      <c r="B41" s="670"/>
      <c r="C41" s="672" t="s">
        <v>969</v>
      </c>
      <c r="D41" s="673"/>
      <c r="E41" s="253"/>
      <c r="F41" s="671"/>
      <c r="G41" s="672" t="s">
        <v>974</v>
      </c>
      <c r="H41" s="673"/>
      <c r="I41" s="254"/>
      <c r="J41" s="255"/>
    </row>
    <row r="42" spans="2:10">
      <c r="B42" s="671"/>
      <c r="C42" s="672" t="s">
        <v>970</v>
      </c>
      <c r="D42" s="673"/>
      <c r="E42" s="253"/>
      <c r="F42" s="252" t="s">
        <v>972</v>
      </c>
      <c r="G42" s="672"/>
      <c r="H42" s="673"/>
      <c r="I42" s="254"/>
      <c r="J42" s="255"/>
    </row>
    <row r="43" spans="2:10">
      <c r="B43" s="235" t="s">
        <v>975</v>
      </c>
      <c r="C43" s="240"/>
      <c r="D43" s="240"/>
      <c r="E43" s="240"/>
      <c r="F43" s="240"/>
      <c r="G43" s="240"/>
      <c r="H43" s="240"/>
      <c r="I43" s="240"/>
      <c r="J43" s="241"/>
    </row>
    <row r="44" spans="2:10">
      <c r="B44" s="235"/>
      <c r="C44" s="240"/>
      <c r="D44" s="240"/>
      <c r="E44" s="240"/>
      <c r="F44" s="240"/>
      <c r="G44" s="240"/>
      <c r="H44" s="240"/>
      <c r="I44" s="240"/>
      <c r="J44" s="241"/>
    </row>
    <row r="45" spans="2:10">
      <c r="B45" s="251" t="s">
        <v>977</v>
      </c>
      <c r="C45" s="240"/>
      <c r="D45" s="240"/>
      <c r="E45" s="240"/>
      <c r="F45" s="240"/>
      <c r="G45" s="240"/>
      <c r="H45" s="240"/>
      <c r="I45" s="240"/>
      <c r="J45" s="241"/>
    </row>
    <row r="46" spans="2:10">
      <c r="B46" s="235" t="s">
        <v>978</v>
      </c>
      <c r="C46" s="240"/>
      <c r="D46" s="240"/>
      <c r="E46" s="240"/>
      <c r="F46" s="240"/>
      <c r="G46" s="240"/>
      <c r="H46" s="240"/>
      <c r="I46" s="240"/>
      <c r="J46" s="241"/>
    </row>
    <row r="47" spans="2:10">
      <c r="B47" s="666" t="s">
        <v>966</v>
      </c>
      <c r="C47" s="667"/>
      <c r="D47" s="667"/>
      <c r="E47" s="667"/>
      <c r="F47" s="667"/>
      <c r="G47" s="667"/>
      <c r="H47" s="668"/>
      <c r="I47" s="387" t="s">
        <v>1102</v>
      </c>
      <c r="J47" s="252" t="s">
        <v>967</v>
      </c>
    </row>
    <row r="48" spans="2:10">
      <c r="B48" s="340" t="s">
        <v>78</v>
      </c>
      <c r="C48" s="341"/>
      <c r="D48" s="686"/>
      <c r="E48" s="687"/>
      <c r="F48" s="669" t="s">
        <v>79</v>
      </c>
      <c r="G48" s="672" t="s">
        <v>973</v>
      </c>
      <c r="H48" s="673"/>
      <c r="I48" s="254"/>
      <c r="J48" s="255"/>
    </row>
    <row r="49" spans="2:10">
      <c r="B49" s="340" t="s">
        <v>969</v>
      </c>
      <c r="C49" s="341"/>
      <c r="D49" s="688"/>
      <c r="E49" s="688"/>
      <c r="F49" s="671"/>
      <c r="G49" s="672" t="s">
        <v>974</v>
      </c>
      <c r="H49" s="673"/>
      <c r="I49" s="254"/>
      <c r="J49" s="255"/>
    </row>
    <row r="50" spans="2:10">
      <c r="B50" s="340" t="s">
        <v>970</v>
      </c>
      <c r="C50" s="341"/>
      <c r="D50" s="674"/>
      <c r="E50" s="675"/>
      <c r="F50" s="252" t="s">
        <v>972</v>
      </c>
      <c r="G50" s="672"/>
      <c r="H50" s="673"/>
      <c r="I50" s="254"/>
      <c r="J50" s="255"/>
    </row>
    <row r="51" spans="2:10">
      <c r="B51" s="235"/>
      <c r="C51" s="237"/>
      <c r="D51" s="237"/>
      <c r="E51" s="237"/>
      <c r="F51" s="237"/>
      <c r="G51" s="237"/>
      <c r="H51" s="237"/>
      <c r="I51" s="237"/>
      <c r="J51" s="333"/>
    </row>
    <row r="52" spans="2:10">
      <c r="B52" s="680" t="s">
        <v>88</v>
      </c>
      <c r="C52" s="681"/>
      <c r="D52" s="681"/>
      <c r="E52" s="681"/>
      <c r="F52" s="681"/>
      <c r="G52" s="681"/>
      <c r="H52" s="681"/>
      <c r="I52" s="681"/>
      <c r="J52" s="682"/>
    </row>
    <row r="53" spans="2:10">
      <c r="B53" s="676" t="s">
        <v>100</v>
      </c>
      <c r="C53" s="677"/>
      <c r="D53" s="677"/>
      <c r="E53" s="677"/>
      <c r="F53" s="677"/>
      <c r="G53" s="677"/>
      <c r="H53" s="677"/>
      <c r="I53" s="677"/>
      <c r="J53" s="678"/>
    </row>
    <row r="54" spans="2:10">
      <c r="B54" s="256" t="s">
        <v>1112</v>
      </c>
      <c r="C54" s="236"/>
      <c r="D54" s="236"/>
      <c r="E54" s="236"/>
      <c r="F54" s="236"/>
      <c r="G54" s="236"/>
      <c r="H54" s="236"/>
      <c r="I54" s="236"/>
      <c r="J54" s="257"/>
    </row>
    <row r="55" spans="2:10">
      <c r="B55" s="256" t="s">
        <v>1111</v>
      </c>
      <c r="C55" s="236"/>
      <c r="D55" s="236"/>
      <c r="E55" s="236"/>
      <c r="F55" s="236"/>
      <c r="G55" s="236"/>
      <c r="H55" s="236"/>
      <c r="I55" s="236"/>
      <c r="J55" s="257"/>
    </row>
    <row r="56" spans="2:10">
      <c r="B56" s="676" t="s">
        <v>891</v>
      </c>
      <c r="C56" s="677"/>
      <c r="D56" s="677"/>
      <c r="E56" s="677"/>
      <c r="F56" s="677"/>
      <c r="G56" s="677"/>
      <c r="H56" s="677"/>
      <c r="I56" s="677"/>
      <c r="J56" s="678"/>
    </row>
    <row r="57" spans="2:10">
      <c r="B57" s="676" t="s">
        <v>103</v>
      </c>
      <c r="C57" s="677"/>
      <c r="D57" s="677"/>
      <c r="E57" s="677"/>
      <c r="F57" s="677"/>
      <c r="G57" s="677"/>
      <c r="H57" s="677"/>
      <c r="I57" s="677"/>
      <c r="J57" s="678"/>
    </row>
    <row r="58" spans="2:10">
      <c r="B58" s="676" t="s">
        <v>1132</v>
      </c>
      <c r="C58" s="677"/>
      <c r="D58" s="677"/>
      <c r="E58" s="677"/>
      <c r="F58" s="677"/>
      <c r="G58" s="677"/>
      <c r="H58" s="677"/>
      <c r="I58" s="677"/>
      <c r="J58" s="678"/>
    </row>
    <row r="59" spans="2:10">
      <c r="B59" s="256"/>
      <c r="C59" s="236"/>
      <c r="D59" s="236"/>
      <c r="E59" s="236"/>
      <c r="F59" s="236"/>
      <c r="G59" s="236"/>
      <c r="H59" s="236"/>
      <c r="I59" s="236"/>
      <c r="J59" s="257"/>
    </row>
    <row r="60" spans="2:10">
      <c r="B60" s="651" t="s">
        <v>99</v>
      </c>
      <c r="C60" s="652"/>
      <c r="D60" s="652"/>
      <c r="E60" s="652"/>
      <c r="F60" s="652"/>
      <c r="G60" s="652"/>
      <c r="H60" s="652"/>
      <c r="I60" s="652"/>
      <c r="J60" s="653"/>
    </row>
    <row r="61" spans="2:10">
      <c r="B61" s="676" t="s">
        <v>106</v>
      </c>
      <c r="C61" s="677"/>
      <c r="D61" s="677"/>
      <c r="E61" s="677"/>
      <c r="F61" s="677"/>
      <c r="G61" s="677"/>
      <c r="H61" s="677"/>
      <c r="I61" s="677"/>
      <c r="J61" s="678"/>
    </row>
    <row r="62" spans="2:10">
      <c r="B62" s="676" t="s">
        <v>102</v>
      </c>
      <c r="C62" s="677"/>
      <c r="D62" s="677"/>
      <c r="E62" s="677"/>
      <c r="F62" s="677"/>
      <c r="G62" s="677"/>
      <c r="H62" s="677"/>
      <c r="I62" s="677"/>
      <c r="J62" s="678"/>
    </row>
    <row r="63" spans="2:10">
      <c r="B63" s="676" t="s">
        <v>109</v>
      </c>
      <c r="C63" s="677"/>
      <c r="D63" s="677"/>
      <c r="E63" s="677"/>
      <c r="F63" s="677"/>
      <c r="G63" s="677"/>
      <c r="H63" s="677"/>
      <c r="I63" s="677"/>
      <c r="J63" s="678"/>
    </row>
    <row r="64" spans="2:10">
      <c r="B64" s="256" t="s">
        <v>889</v>
      </c>
      <c r="C64" s="236"/>
      <c r="D64" s="236"/>
      <c r="E64" s="236"/>
      <c r="F64" s="236"/>
      <c r="G64" s="236"/>
      <c r="H64" s="236"/>
      <c r="I64" s="236"/>
      <c r="J64" s="257"/>
    </row>
    <row r="65" spans="2:10">
      <c r="B65" s="256" t="s">
        <v>892</v>
      </c>
      <c r="C65" s="236"/>
      <c r="D65" s="236"/>
      <c r="E65" s="236"/>
      <c r="F65" s="236"/>
      <c r="G65" s="236"/>
      <c r="H65" s="236"/>
      <c r="I65" s="236"/>
      <c r="J65" s="257"/>
    </row>
    <row r="66" spans="2:10">
      <c r="B66" s="256"/>
      <c r="C66" s="236"/>
      <c r="D66" s="236"/>
      <c r="E66" s="236"/>
      <c r="F66" s="236"/>
      <c r="G66" s="236"/>
      <c r="H66" s="236"/>
      <c r="I66" s="236"/>
      <c r="J66" s="257"/>
    </row>
    <row r="67" spans="2:10">
      <c r="B67" s="339" t="s">
        <v>1021</v>
      </c>
      <c r="C67" s="236"/>
      <c r="D67" s="236"/>
      <c r="E67" s="236"/>
      <c r="F67" s="236"/>
      <c r="G67" s="236"/>
      <c r="H67" s="236"/>
      <c r="I67" s="236"/>
      <c r="J67" s="257"/>
    </row>
    <row r="68" spans="2:10">
      <c r="B68" s="256" t="s">
        <v>105</v>
      </c>
      <c r="C68" s="236"/>
      <c r="D68" s="236"/>
      <c r="E68" s="236"/>
      <c r="F68" s="236"/>
      <c r="G68" s="236"/>
      <c r="H68" s="236"/>
      <c r="I68" s="236"/>
      <c r="J68" s="257"/>
    </row>
    <row r="69" spans="2:10">
      <c r="B69" s="256" t="s">
        <v>107</v>
      </c>
      <c r="C69" s="236"/>
      <c r="D69" s="236"/>
      <c r="E69" s="236"/>
      <c r="F69" s="236"/>
      <c r="G69" s="236"/>
      <c r="H69" s="236"/>
      <c r="I69" s="236"/>
      <c r="J69" s="257"/>
    </row>
    <row r="70" spans="2:10">
      <c r="B70" s="235" t="s">
        <v>108</v>
      </c>
      <c r="C70" s="237"/>
      <c r="D70" s="237"/>
      <c r="E70" s="237"/>
      <c r="F70" s="237"/>
      <c r="G70" s="237"/>
      <c r="H70" s="237"/>
      <c r="I70" s="237"/>
      <c r="J70" s="333"/>
    </row>
    <row r="71" spans="2:10">
      <c r="B71" s="235" t="s">
        <v>110</v>
      </c>
      <c r="C71" s="237"/>
      <c r="D71" s="237"/>
      <c r="E71" s="237"/>
      <c r="F71" s="237"/>
      <c r="G71" s="237"/>
      <c r="H71" s="237"/>
      <c r="I71" s="237"/>
      <c r="J71" s="333"/>
    </row>
    <row r="72" spans="2:10">
      <c r="B72" s="235" t="s">
        <v>111</v>
      </c>
      <c r="C72" s="237"/>
      <c r="D72" s="237"/>
      <c r="E72" s="237"/>
      <c r="F72" s="237"/>
      <c r="G72" s="237"/>
      <c r="H72" s="237"/>
      <c r="I72" s="237"/>
      <c r="J72" s="333"/>
    </row>
    <row r="73" spans="2:10">
      <c r="B73" s="382" t="s">
        <v>1088</v>
      </c>
      <c r="C73" s="359"/>
      <c r="D73" s="359"/>
      <c r="E73" s="359"/>
      <c r="F73" s="359"/>
      <c r="G73" s="359"/>
      <c r="H73" s="359"/>
      <c r="I73" s="237"/>
      <c r="J73" s="333"/>
    </row>
    <row r="74" spans="2:10">
      <c r="B74" s="382" t="s">
        <v>1089</v>
      </c>
      <c r="C74" s="359"/>
      <c r="D74" s="359"/>
      <c r="E74" s="359"/>
      <c r="F74" s="359"/>
      <c r="G74" s="359"/>
      <c r="H74" s="359"/>
      <c r="I74" s="237"/>
      <c r="J74" s="333"/>
    </row>
    <row r="75" spans="2:10">
      <c r="B75" s="382" t="s">
        <v>1090</v>
      </c>
      <c r="C75" s="359"/>
      <c r="D75" s="359"/>
      <c r="E75" s="359"/>
      <c r="F75" s="359"/>
      <c r="G75" s="359"/>
      <c r="H75" s="359"/>
      <c r="I75" s="237"/>
      <c r="J75" s="333"/>
    </row>
    <row r="76" spans="2:10" ht="16.5" customHeight="1">
      <c r="B76" s="382" t="s">
        <v>1091</v>
      </c>
      <c r="C76" s="359"/>
      <c r="D76" s="359"/>
      <c r="E76" s="359"/>
      <c r="F76" s="359"/>
      <c r="G76" s="359"/>
      <c r="H76" s="359"/>
      <c r="I76" s="237"/>
      <c r="J76" s="333"/>
    </row>
    <row r="77" spans="2:10">
      <c r="B77" s="235"/>
      <c r="C77" s="237"/>
      <c r="D77" s="237"/>
      <c r="E77" s="237"/>
      <c r="F77" s="237"/>
      <c r="G77" s="237"/>
      <c r="H77" s="237"/>
      <c r="I77" s="237"/>
      <c r="J77" s="333"/>
    </row>
    <row r="78" spans="2:10">
      <c r="B78" s="334" t="s">
        <v>1022</v>
      </c>
      <c r="C78" s="237"/>
      <c r="D78" s="237"/>
      <c r="E78" s="237"/>
      <c r="F78" s="237"/>
      <c r="G78" s="237"/>
      <c r="H78" s="237"/>
      <c r="I78" s="237"/>
      <c r="J78" s="333"/>
    </row>
    <row r="79" spans="2:10">
      <c r="B79" s="235" t="s">
        <v>112</v>
      </c>
      <c r="C79" s="237"/>
      <c r="D79" s="237"/>
      <c r="E79" s="237"/>
      <c r="F79" s="237"/>
      <c r="G79" s="237"/>
      <c r="H79" s="237"/>
      <c r="I79" s="237"/>
      <c r="J79" s="333"/>
    </row>
    <row r="80" spans="2:10">
      <c r="B80" s="235" t="s">
        <v>113</v>
      </c>
      <c r="C80" s="237"/>
      <c r="D80" s="237"/>
      <c r="E80" s="237"/>
      <c r="F80" s="237"/>
      <c r="G80" s="237"/>
      <c r="H80" s="237"/>
      <c r="I80" s="237"/>
      <c r="J80" s="333"/>
    </row>
    <row r="81" spans="2:10">
      <c r="B81" s="235" t="s">
        <v>114</v>
      </c>
      <c r="C81" s="237"/>
      <c r="D81" s="237"/>
      <c r="E81" s="237"/>
      <c r="F81" s="237"/>
      <c r="G81" s="237"/>
      <c r="H81" s="237"/>
      <c r="I81" s="237"/>
      <c r="J81" s="333"/>
    </row>
    <row r="82" spans="2:10">
      <c r="B82" s="235" t="s">
        <v>115</v>
      </c>
      <c r="C82" s="237"/>
      <c r="D82" s="237"/>
      <c r="E82" s="237"/>
      <c r="F82" s="237"/>
      <c r="G82" s="237"/>
      <c r="H82" s="237"/>
      <c r="I82" s="237"/>
      <c r="J82" s="333"/>
    </row>
    <row r="83" spans="2:10">
      <c r="B83" s="235" t="s">
        <v>1005</v>
      </c>
      <c r="C83" s="237"/>
      <c r="D83" s="237"/>
      <c r="E83" s="237"/>
      <c r="F83" s="237"/>
      <c r="G83" s="237"/>
      <c r="H83" s="237"/>
      <c r="I83" s="237"/>
      <c r="J83" s="333"/>
    </row>
    <row r="84" spans="2:10">
      <c r="B84" s="235" t="s">
        <v>1006</v>
      </c>
      <c r="C84" s="237"/>
      <c r="D84" s="237"/>
      <c r="E84" s="237"/>
      <c r="F84" s="237"/>
      <c r="G84" s="237"/>
      <c r="H84" s="237"/>
      <c r="I84" s="237"/>
      <c r="J84" s="333"/>
    </row>
    <row r="85" spans="2:10">
      <c r="B85" s="256" t="s">
        <v>1134</v>
      </c>
      <c r="C85" s="236"/>
      <c r="D85" s="236"/>
      <c r="E85" s="236"/>
      <c r="F85" s="236"/>
      <c r="G85" s="236"/>
      <c r="H85" s="236"/>
      <c r="I85" s="359"/>
      <c r="J85" s="360"/>
    </row>
    <row r="86" spans="2:10">
      <c r="B86" s="235" t="s">
        <v>116</v>
      </c>
      <c r="C86" s="237"/>
      <c r="D86" s="237"/>
      <c r="E86" s="237"/>
      <c r="F86" s="237"/>
      <c r="G86" s="237"/>
      <c r="H86" s="237"/>
      <c r="I86" s="237"/>
      <c r="J86" s="333"/>
    </row>
    <row r="87" spans="2:10" ht="16.5" customHeight="1">
      <c r="B87" s="235" t="s">
        <v>117</v>
      </c>
      <c r="C87" s="237"/>
      <c r="D87" s="237"/>
      <c r="E87" s="237"/>
      <c r="F87" s="237"/>
      <c r="G87" s="237"/>
      <c r="H87" s="237"/>
      <c r="I87" s="237"/>
      <c r="J87" s="333"/>
    </row>
    <row r="88" spans="2:10">
      <c r="B88" s="235" t="s">
        <v>118</v>
      </c>
      <c r="C88" s="237"/>
      <c r="D88" s="237"/>
      <c r="E88" s="237"/>
      <c r="F88" s="237"/>
      <c r="G88" s="237"/>
      <c r="H88" s="237"/>
      <c r="I88" s="237"/>
      <c r="J88" s="333"/>
    </row>
    <row r="89" spans="2:10" ht="16.5" customHeight="1">
      <c r="B89" s="235" t="s">
        <v>119</v>
      </c>
      <c r="C89" s="237"/>
      <c r="D89" s="237"/>
      <c r="E89" s="237"/>
      <c r="F89" s="237"/>
      <c r="G89" s="237"/>
      <c r="H89" s="237"/>
      <c r="I89" s="237"/>
      <c r="J89" s="333"/>
    </row>
    <row r="90" spans="2:10">
      <c r="B90" s="683" t="s">
        <v>1008</v>
      </c>
      <c r="C90" s="684"/>
      <c r="D90" s="684"/>
      <c r="E90" s="684"/>
      <c r="F90" s="684"/>
      <c r="G90" s="684"/>
      <c r="H90" s="684"/>
      <c r="I90" s="684"/>
      <c r="J90" s="685"/>
    </row>
    <row r="91" spans="2:10" ht="16.5" customHeight="1">
      <c r="B91" s="235" t="s">
        <v>1009</v>
      </c>
      <c r="C91" s="337"/>
      <c r="D91" s="337"/>
      <c r="E91" s="337"/>
      <c r="F91" s="337"/>
      <c r="G91" s="337"/>
      <c r="H91" s="337"/>
      <c r="I91" s="337"/>
      <c r="J91" s="338"/>
    </row>
    <row r="92" spans="2:10" ht="16.5" customHeight="1">
      <c r="B92" s="235" t="s">
        <v>1010</v>
      </c>
      <c r="C92" s="337"/>
      <c r="D92" s="337"/>
      <c r="E92" s="337"/>
      <c r="F92" s="337"/>
      <c r="G92" s="337"/>
      <c r="H92" s="337"/>
      <c r="I92" s="337"/>
      <c r="J92" s="338"/>
    </row>
    <row r="93" spans="2:10">
      <c r="B93" s="235" t="s">
        <v>120</v>
      </c>
      <c r="C93" s="337"/>
      <c r="D93" s="337"/>
      <c r="E93" s="337"/>
      <c r="F93" s="337"/>
      <c r="G93" s="337"/>
      <c r="H93" s="337"/>
      <c r="I93" s="337"/>
      <c r="J93" s="338"/>
    </row>
    <row r="94" spans="2:10" ht="16.5" customHeight="1">
      <c r="B94" s="235" t="s">
        <v>1011</v>
      </c>
      <c r="C94" s="337"/>
      <c r="D94" s="337"/>
      <c r="E94" s="337"/>
      <c r="F94" s="337"/>
      <c r="G94" s="337"/>
      <c r="H94" s="337"/>
      <c r="I94" s="337"/>
      <c r="J94" s="338"/>
    </row>
    <row r="95" spans="2:10">
      <c r="B95" s="235"/>
      <c r="C95" s="337"/>
      <c r="D95" s="337"/>
      <c r="E95" s="337"/>
      <c r="F95" s="337"/>
      <c r="G95" s="337"/>
      <c r="H95" s="337"/>
      <c r="I95" s="337"/>
      <c r="J95" s="338"/>
    </row>
    <row r="96" spans="2:10">
      <c r="B96" s="680" t="s">
        <v>121</v>
      </c>
      <c r="C96" s="681"/>
      <c r="D96" s="681"/>
      <c r="E96" s="681"/>
      <c r="F96" s="681"/>
      <c r="G96" s="681"/>
      <c r="H96" s="681"/>
      <c r="I96" s="681"/>
      <c r="J96" s="682"/>
    </row>
    <row r="97" spans="1:11">
      <c r="B97" s="664" t="s">
        <v>126</v>
      </c>
      <c r="C97" s="661"/>
      <c r="D97" s="661"/>
      <c r="E97" s="661"/>
      <c r="F97" s="661"/>
      <c r="G97" s="661"/>
      <c r="H97" s="661"/>
      <c r="I97" s="661"/>
      <c r="J97" s="665"/>
    </row>
    <row r="98" spans="1:11">
      <c r="B98" s="664" t="s">
        <v>128</v>
      </c>
      <c r="C98" s="661"/>
      <c r="D98" s="661"/>
      <c r="E98" s="661"/>
      <c r="F98" s="661"/>
      <c r="G98" s="661"/>
      <c r="H98" s="661"/>
      <c r="I98" s="661"/>
      <c r="J98" s="665"/>
    </row>
    <row r="99" spans="1:11">
      <c r="B99" s="664" t="s">
        <v>124</v>
      </c>
      <c r="C99" s="661"/>
      <c r="D99" s="661"/>
      <c r="E99" s="661"/>
      <c r="F99" s="661"/>
      <c r="G99" s="661"/>
      <c r="H99" s="661"/>
      <c r="I99" s="661"/>
      <c r="J99" s="665"/>
    </row>
    <row r="100" spans="1:11">
      <c r="B100" s="664" t="s">
        <v>125</v>
      </c>
      <c r="C100" s="661"/>
      <c r="D100" s="661"/>
      <c r="E100" s="661"/>
      <c r="F100" s="661"/>
      <c r="G100" s="661"/>
      <c r="H100" s="661"/>
      <c r="I100" s="661"/>
      <c r="J100" s="665"/>
    </row>
    <row r="101" spans="1:11" ht="15" customHeight="1">
      <c r="B101" s="676" t="s">
        <v>1135</v>
      </c>
      <c r="C101" s="677"/>
      <c r="D101" s="677"/>
      <c r="E101" s="677"/>
      <c r="F101" s="677"/>
      <c r="G101" s="677"/>
      <c r="H101" s="677"/>
      <c r="I101" s="677"/>
      <c r="J101" s="678"/>
    </row>
    <row r="102" spans="1:11" ht="15" customHeight="1">
      <c r="B102" s="683" t="s">
        <v>132</v>
      </c>
      <c r="C102" s="684"/>
      <c r="D102" s="684"/>
      <c r="E102" s="684"/>
      <c r="F102" s="684"/>
      <c r="G102" s="684"/>
      <c r="H102" s="684"/>
      <c r="I102" s="684"/>
      <c r="J102" s="685"/>
    </row>
    <row r="103" spans="1:11" ht="15" customHeight="1">
      <c r="B103" s="336"/>
      <c r="C103" s="337"/>
      <c r="D103" s="337"/>
      <c r="E103" s="337"/>
      <c r="F103" s="337"/>
      <c r="G103" s="337"/>
      <c r="H103" s="337"/>
      <c r="I103" s="337"/>
      <c r="J103" s="338"/>
    </row>
    <row r="104" spans="1:11" ht="15" customHeight="1">
      <c r="B104" s="680" t="s">
        <v>131</v>
      </c>
      <c r="C104" s="681"/>
      <c r="D104" s="681"/>
      <c r="E104" s="681"/>
      <c r="F104" s="681"/>
      <c r="G104" s="681"/>
      <c r="H104" s="681"/>
      <c r="I104" s="681"/>
      <c r="J104" s="682"/>
    </row>
    <row r="105" spans="1:11" ht="15" customHeight="1">
      <c r="B105" s="664" t="s">
        <v>135</v>
      </c>
      <c r="C105" s="661"/>
      <c r="D105" s="661"/>
      <c r="E105" s="661"/>
      <c r="F105" s="661"/>
      <c r="G105" s="661"/>
      <c r="H105" s="661"/>
      <c r="I105" s="661"/>
      <c r="J105" s="665"/>
    </row>
    <row r="106" spans="1:11" ht="15" customHeight="1">
      <c r="B106" s="664" t="s">
        <v>137</v>
      </c>
      <c r="C106" s="661"/>
      <c r="D106" s="661"/>
      <c r="E106" s="661"/>
      <c r="F106" s="661"/>
      <c r="G106" s="661"/>
      <c r="H106" s="661"/>
      <c r="I106" s="661"/>
      <c r="J106" s="665"/>
    </row>
    <row r="107" spans="1:11" ht="15.75" customHeight="1">
      <c r="A107" s="216"/>
      <c r="B107" s="654" t="s">
        <v>1138</v>
      </c>
      <c r="C107" s="677"/>
      <c r="D107" s="677"/>
      <c r="E107" s="677"/>
      <c r="F107" s="677"/>
      <c r="G107" s="677"/>
      <c r="H107" s="677"/>
      <c r="I107" s="677"/>
      <c r="J107" s="678"/>
      <c r="K107" s="216"/>
    </row>
    <row r="108" spans="1:11" ht="15.75" customHeight="1">
      <c r="A108" s="216"/>
      <c r="B108" s="256" t="s">
        <v>138</v>
      </c>
      <c r="J108" s="221"/>
      <c r="K108" s="216"/>
    </row>
    <row r="109" spans="1:11">
      <c r="A109" s="216"/>
      <c r="B109" s="715" t="s">
        <v>139</v>
      </c>
      <c r="C109" s="716"/>
      <c r="D109" s="716"/>
      <c r="E109" s="716"/>
      <c r="F109" s="716"/>
      <c r="G109" s="716"/>
      <c r="H109" s="716"/>
      <c r="I109" s="716"/>
      <c r="J109" s="717"/>
      <c r="K109" s="216"/>
    </row>
    <row r="110" spans="1:11" ht="16.5" customHeight="1">
      <c r="B110" s="220"/>
      <c r="J110" s="221"/>
    </row>
    <row r="111" spans="1:11">
      <c r="B111" s="657">
        <f ca="1">TODAY()</f>
        <v>46132</v>
      </c>
      <c r="C111" s="658"/>
      <c r="D111" s="658"/>
      <c r="E111" s="658"/>
      <c r="F111" s="658"/>
      <c r="G111" s="658"/>
      <c r="H111" s="658"/>
      <c r="I111" s="658"/>
      <c r="J111" s="659"/>
    </row>
    <row r="112" spans="1:11">
      <c r="B112" s="220"/>
      <c r="J112" s="221"/>
    </row>
    <row r="113" spans="2:10">
      <c r="B113" s="258" t="s">
        <v>140</v>
      </c>
      <c r="C113" s="259" t="s">
        <v>141</v>
      </c>
      <c r="E113" s="260" t="s">
        <v>142</v>
      </c>
      <c r="F113" s="660" t="str">
        <f>E12</f>
        <v>○○○○○(기관명)</v>
      </c>
      <c r="G113" s="660"/>
      <c r="H113" s="345"/>
      <c r="I113" s="261" t="str">
        <f>I12</f>
        <v>○○○</v>
      </c>
      <c r="J113" s="262" t="s">
        <v>143</v>
      </c>
    </row>
    <row r="114" spans="2:10">
      <c r="B114" s="258" t="s">
        <v>144</v>
      </c>
      <c r="C114" s="259" t="s">
        <v>78</v>
      </c>
      <c r="E114" s="260" t="s">
        <v>142</v>
      </c>
      <c r="F114" s="660" t="str">
        <f>E14</f>
        <v>○○○○○</v>
      </c>
      <c r="G114" s="660"/>
      <c r="H114" s="345"/>
      <c r="I114" s="261" t="str">
        <f>I7</f>
        <v>○○○</v>
      </c>
      <c r="J114" s="262" t="s">
        <v>145</v>
      </c>
    </row>
    <row r="115" spans="2:10">
      <c r="B115" s="258" t="s">
        <v>146</v>
      </c>
      <c r="C115" s="383" t="s">
        <v>1099</v>
      </c>
      <c r="E115" s="260" t="s">
        <v>142</v>
      </c>
      <c r="F115" s="660" t="str">
        <f>E16</f>
        <v>○○○○○(기관명)</v>
      </c>
      <c r="G115" s="660"/>
      <c r="H115" s="345"/>
      <c r="I115" s="261" t="str">
        <f>C8</f>
        <v>○○○</v>
      </c>
      <c r="J115" s="262" t="s">
        <v>145</v>
      </c>
    </row>
    <row r="116" spans="2:10" ht="30" customHeight="1">
      <c r="B116" s="649" t="s">
        <v>1139</v>
      </c>
      <c r="C116" s="650"/>
      <c r="D116" s="650"/>
      <c r="E116" s="650"/>
      <c r="F116" s="650"/>
      <c r="G116" s="650"/>
      <c r="H116" s="650"/>
      <c r="I116" s="261" t="str">
        <f>C8</f>
        <v>○○○</v>
      </c>
      <c r="J116" s="266" t="s">
        <v>145</v>
      </c>
    </row>
    <row r="117" spans="2:10">
      <c r="B117" s="242"/>
      <c r="C117" s="216"/>
      <c r="D117" s="260"/>
      <c r="E117" s="259"/>
      <c r="F117" s="259"/>
      <c r="G117" s="260"/>
      <c r="H117" s="216"/>
      <c r="I117" s="267"/>
      <c r="J117" s="260"/>
    </row>
    <row r="118" spans="2:10">
      <c r="B118" s="216"/>
      <c r="C118" s="216"/>
      <c r="D118" s="216"/>
      <c r="E118" s="216"/>
      <c r="F118" s="216"/>
      <c r="G118" s="216"/>
      <c r="H118" s="216"/>
      <c r="I118" s="216"/>
      <c r="J118" s="216"/>
    </row>
    <row r="119" spans="2:10">
      <c r="B119" s="216"/>
      <c r="C119" s="216"/>
      <c r="D119" s="216"/>
      <c r="E119" s="216"/>
      <c r="F119" s="216"/>
      <c r="G119" s="216"/>
      <c r="H119" s="216"/>
      <c r="I119" s="216"/>
      <c r="J119" s="216"/>
    </row>
    <row r="120" spans="2:10">
      <c r="B120" s="216"/>
      <c r="C120" s="216"/>
      <c r="D120" s="216"/>
      <c r="E120" s="216"/>
      <c r="F120" s="216"/>
      <c r="G120" s="216"/>
      <c r="H120" s="216"/>
      <c r="I120" s="216"/>
      <c r="J120" s="216"/>
    </row>
  </sheetData>
  <mergeCells count="93">
    <mergeCell ref="D1:G1"/>
    <mergeCell ref="B5:J5"/>
    <mergeCell ref="G29:H29"/>
    <mergeCell ref="B11:J11"/>
    <mergeCell ref="B9:J9"/>
    <mergeCell ref="C7:E7"/>
    <mergeCell ref="C8:D8"/>
    <mergeCell ref="E8:J8"/>
    <mergeCell ref="C13:D13"/>
    <mergeCell ref="E13:I13"/>
    <mergeCell ref="B12:B13"/>
    <mergeCell ref="C12:D12"/>
    <mergeCell ref="E12:G12"/>
    <mergeCell ref="C15:D15"/>
    <mergeCell ref="E15:I15"/>
    <mergeCell ref="B14:B15"/>
    <mergeCell ref="C14:D14"/>
    <mergeCell ref="E14:G14"/>
    <mergeCell ref="C17:D17"/>
    <mergeCell ref="E17:I17"/>
    <mergeCell ref="B16:B18"/>
    <mergeCell ref="C16:D16"/>
    <mergeCell ref="E16:G16"/>
    <mergeCell ref="C19:D19"/>
    <mergeCell ref="E19:G19"/>
    <mergeCell ref="B20:J20"/>
    <mergeCell ref="C18:D18"/>
    <mergeCell ref="E18:F18"/>
    <mergeCell ref="H18:I18"/>
    <mergeCell ref="D25:E25"/>
    <mergeCell ref="G25:H25"/>
    <mergeCell ref="B24:J24"/>
    <mergeCell ref="C21:D21"/>
    <mergeCell ref="G21:H21"/>
    <mergeCell ref="B29:C29"/>
    <mergeCell ref="B30:J30"/>
    <mergeCell ref="B31:J31"/>
    <mergeCell ref="B32:J32"/>
    <mergeCell ref="B26:J26"/>
    <mergeCell ref="B27:C27"/>
    <mergeCell ref="B28:C28"/>
    <mergeCell ref="B40:B42"/>
    <mergeCell ref="C40:D40"/>
    <mergeCell ref="B56:J56"/>
    <mergeCell ref="B57:J57"/>
    <mergeCell ref="F40:F41"/>
    <mergeCell ref="G40:H40"/>
    <mergeCell ref="C41:D41"/>
    <mergeCell ref="B53:J53"/>
    <mergeCell ref="G41:H41"/>
    <mergeCell ref="C42:D42"/>
    <mergeCell ref="G42:H42"/>
    <mergeCell ref="B52:J52"/>
    <mergeCell ref="B47:H47"/>
    <mergeCell ref="D48:E48"/>
    <mergeCell ref="F48:F49"/>
    <mergeCell ref="G48:H48"/>
    <mergeCell ref="B90:J90"/>
    <mergeCell ref="B63:J63"/>
    <mergeCell ref="B58:J58"/>
    <mergeCell ref="B60:J60"/>
    <mergeCell ref="B61:J61"/>
    <mergeCell ref="B62:J62"/>
    <mergeCell ref="B102:J102"/>
    <mergeCell ref="B96:J96"/>
    <mergeCell ref="B97:J97"/>
    <mergeCell ref="B98:J98"/>
    <mergeCell ref="B99:J99"/>
    <mergeCell ref="C36:H36"/>
    <mergeCell ref="B37:B39"/>
    <mergeCell ref="C37:D37"/>
    <mergeCell ref="F37:F38"/>
    <mergeCell ref="G37:H37"/>
    <mergeCell ref="C38:D38"/>
    <mergeCell ref="G38:H38"/>
    <mergeCell ref="C39:D39"/>
    <mergeCell ref="G39:H39"/>
    <mergeCell ref="B116:H116"/>
    <mergeCell ref="D49:E49"/>
    <mergeCell ref="G49:H49"/>
    <mergeCell ref="D50:E50"/>
    <mergeCell ref="G50:H50"/>
    <mergeCell ref="F114:G114"/>
    <mergeCell ref="F115:G115"/>
    <mergeCell ref="B109:J109"/>
    <mergeCell ref="B111:J111"/>
    <mergeCell ref="F113:G113"/>
    <mergeCell ref="B104:J104"/>
    <mergeCell ref="B105:J105"/>
    <mergeCell ref="B106:J106"/>
    <mergeCell ref="B107:J107"/>
    <mergeCell ref="B100:J100"/>
    <mergeCell ref="B101:J101"/>
  </mergeCells>
  <phoneticPr fontId="4" type="noConversion"/>
  <dataValidations count="2">
    <dataValidation allowBlank="1" showInputMessage="1" showErrorMessage="1" prompt="yymmdd_x000a_(년-월-일)" sqref="D25:E25 G25:H25" xr:uid="{562CE58A-A52D-4B13-BF78-A7A8E86B5920}"/>
    <dataValidation type="list" allowBlank="1" showInputMessage="1" showErrorMessage="1" sqref="D29" xr:uid="{BAF1E664-C80A-45E5-A8ED-0113711B6D8E}">
      <formula1>"시급,일급,월급"</formula1>
    </dataValidation>
  </dataValidations>
  <printOptions horizontalCentered="1"/>
  <pageMargins left="0.23622047244094502" right="0.23622047244094502" top="0.74803149606299202" bottom="0.74803149606299202" header="0.31496062992126" footer="0.31496062992126"/>
  <pageSetup paperSize="9" scale="46"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고용계약서_참여연구자">
                <anchor moveWithCells="1" sizeWithCells="1">
                  <from>
                    <xdr:col>4</xdr:col>
                    <xdr:colOff>285750</xdr:colOff>
                    <xdr:row>117</xdr:row>
                    <xdr:rowOff>19050</xdr:rowOff>
                  </from>
                  <to>
                    <xdr:col>6</xdr:col>
                    <xdr:colOff>952500</xdr:colOff>
                    <xdr:row>118</xdr:row>
                    <xdr:rowOff>184150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4" tint="-0.499984740745262"/>
    <pageSetUpPr fitToPage="1"/>
  </sheetPr>
  <dimension ref="B1:AH60"/>
  <sheetViews>
    <sheetView showGridLines="0" tabSelected="1" zoomScale="70" zoomScaleNormal="70" workbookViewId="0">
      <selection activeCell="T5" sqref="T5"/>
    </sheetView>
  </sheetViews>
  <sheetFormatPr defaultColWidth="2" defaultRowHeight="17"/>
  <cols>
    <col min="1" max="1" width="1.25" style="35" customWidth="1"/>
    <col min="2" max="2" width="6.08203125" style="35" customWidth="1"/>
    <col min="3" max="3" width="8.6640625" style="35" customWidth="1"/>
    <col min="4" max="4" width="6.25" style="35" customWidth="1"/>
    <col min="5" max="5" width="5.08203125" style="35" bestFit="1" customWidth="1"/>
    <col min="6" max="6" width="5.25" style="35" customWidth="1"/>
    <col min="7" max="8" width="8.6640625" style="35" customWidth="1"/>
    <col min="9" max="9" width="10" style="35" customWidth="1"/>
    <col min="10" max="15" width="8.6640625" style="35" customWidth="1"/>
    <col min="16" max="16" width="5.25" style="35" bestFit="1" customWidth="1"/>
    <col min="17" max="17" width="2" style="35"/>
    <col min="18" max="18" width="17.75" style="11" customWidth="1"/>
    <col min="19" max="19" width="7.6640625" style="11" customWidth="1"/>
    <col min="20" max="20" width="30.08203125" style="11" customWidth="1"/>
    <col min="21" max="21" width="17.75" style="11" customWidth="1"/>
    <col min="22" max="22" width="3.08203125" style="11" customWidth="1"/>
    <col min="23" max="23" width="22.25" style="11" customWidth="1"/>
    <col min="24" max="24" width="6.4140625" style="11" customWidth="1"/>
    <col min="25" max="25" width="2.33203125" style="11" customWidth="1"/>
    <col min="26" max="26" width="1.9140625" style="35" customWidth="1"/>
    <col min="27" max="27" width="14" style="11" customWidth="1"/>
    <col min="28" max="29" width="6.4140625" style="11" customWidth="1"/>
    <col min="30" max="30" width="33.6640625" style="11" customWidth="1"/>
    <col min="31" max="31" width="25.33203125" style="11" customWidth="1"/>
    <col min="32" max="33" width="11.6640625" style="11" customWidth="1"/>
    <col min="34" max="34" width="22.25" style="35" bestFit="1" customWidth="1"/>
    <col min="35" max="16384" width="2" style="35"/>
  </cols>
  <sheetData>
    <row r="1" spans="2:34" s="4" customFormat="1" ht="22.75" customHeight="1">
      <c r="B1" s="32"/>
      <c r="C1" s="33"/>
      <c r="D1" s="33"/>
      <c r="E1" s="33"/>
      <c r="F1" s="33"/>
      <c r="G1" s="3"/>
      <c r="H1" s="34"/>
      <c r="I1" s="34"/>
      <c r="V1" s="3"/>
      <c r="W1" s="3"/>
      <c r="X1" s="3"/>
      <c r="Y1" s="3"/>
      <c r="Z1" s="3"/>
    </row>
    <row r="2" spans="2:34" s="4" customFormat="1" ht="22.75" customHeight="1">
      <c r="B2" s="32"/>
      <c r="C2" s="33"/>
      <c r="D2" s="33"/>
      <c r="E2" s="33"/>
      <c r="F2" s="33"/>
      <c r="G2" s="3"/>
      <c r="H2" s="34"/>
      <c r="I2" s="34"/>
      <c r="V2" s="3"/>
      <c r="W2" s="3"/>
      <c r="X2" s="3"/>
      <c r="Y2" s="3"/>
      <c r="Z2" s="3"/>
    </row>
    <row r="3" spans="2:34" s="4" customFormat="1" ht="22.75" customHeight="1">
      <c r="B3" s="504" t="s">
        <v>1464</v>
      </c>
      <c r="C3" s="33"/>
      <c r="D3" s="33"/>
      <c r="E3" s="33"/>
      <c r="F3" s="33"/>
      <c r="G3" s="3"/>
      <c r="H3" s="34"/>
      <c r="I3" s="34"/>
      <c r="R3" s="11" t="s">
        <v>1368</v>
      </c>
      <c r="V3" s="3"/>
      <c r="W3" s="3"/>
      <c r="X3" s="3"/>
      <c r="Y3" s="3"/>
      <c r="Z3" s="3"/>
      <c r="AA3" s="11" t="s">
        <v>1369</v>
      </c>
    </row>
    <row r="4" spans="2:34" ht="48.75" customHeight="1">
      <c r="B4" s="618" t="s">
        <v>1370</v>
      </c>
      <c r="C4" s="618"/>
      <c r="D4" s="618"/>
      <c r="E4" s="618"/>
      <c r="F4" s="618"/>
      <c r="G4" s="618"/>
      <c r="H4" s="618"/>
      <c r="I4" s="618"/>
      <c r="J4" s="618"/>
      <c r="K4" s="618"/>
      <c r="L4" s="618"/>
      <c r="M4" s="618"/>
      <c r="N4" s="618"/>
      <c r="O4" s="618"/>
      <c r="P4" s="618"/>
      <c r="R4" s="806" t="s">
        <v>194</v>
      </c>
      <c r="S4" s="806"/>
      <c r="T4" s="806"/>
      <c r="U4" s="806"/>
      <c r="V4" s="806"/>
      <c r="W4" s="806"/>
      <c r="X4" s="806"/>
      <c r="Y4" s="407"/>
      <c r="AA4" s="617" t="s">
        <v>845</v>
      </c>
      <c r="AB4" s="617"/>
      <c r="AC4" s="617"/>
      <c r="AD4" s="617"/>
      <c r="AE4" s="617"/>
      <c r="AF4" s="617"/>
      <c r="AG4" s="617"/>
    </row>
    <row r="5" spans="2:34" ht="25.5" customHeight="1">
      <c r="B5" s="811" t="s">
        <v>812</v>
      </c>
      <c r="C5" s="811"/>
      <c r="D5" s="811"/>
      <c r="E5" s="811"/>
      <c r="F5" s="811"/>
      <c r="G5" s="811"/>
      <c r="H5" s="811"/>
      <c r="I5" s="811"/>
      <c r="J5" s="811"/>
      <c r="K5" s="811"/>
      <c r="L5" s="811"/>
      <c r="M5" s="811"/>
      <c r="N5" s="811"/>
      <c r="O5" s="811"/>
      <c r="P5" s="811"/>
      <c r="R5" s="41"/>
      <c r="S5" s="41"/>
      <c r="T5" s="41"/>
      <c r="U5" s="41"/>
      <c r="V5" s="41"/>
      <c r="W5" s="41"/>
      <c r="X5" s="41"/>
      <c r="Y5" s="35"/>
      <c r="AA5" s="815"/>
      <c r="AB5" s="815"/>
      <c r="AC5" s="815"/>
      <c r="AD5" s="815"/>
      <c r="AE5" s="815"/>
      <c r="AF5" s="815"/>
      <c r="AG5" s="815"/>
    </row>
    <row r="6" spans="2:34" ht="27.75" customHeight="1">
      <c r="B6" s="615" t="s">
        <v>970</v>
      </c>
      <c r="C6" s="615"/>
      <c r="D6" s="615"/>
      <c r="E6" s="814" t="s">
        <v>1594</v>
      </c>
      <c r="F6" s="814"/>
      <c r="G6" s="814"/>
      <c r="H6" s="814"/>
      <c r="I6" s="814"/>
      <c r="J6" s="615" t="s">
        <v>204</v>
      </c>
      <c r="K6" s="615"/>
      <c r="L6" s="615"/>
      <c r="M6" s="610" t="s">
        <v>1591</v>
      </c>
      <c r="N6" s="610"/>
      <c r="O6" s="610"/>
      <c r="P6" s="610"/>
      <c r="R6" s="807" t="s">
        <v>195</v>
      </c>
      <c r="S6" s="151" t="s">
        <v>196</v>
      </c>
      <c r="T6" s="808">
        <f>C21</f>
        <v>0</v>
      </c>
      <c r="U6" s="808"/>
      <c r="V6" s="808"/>
      <c r="W6" s="808"/>
      <c r="X6" s="809"/>
      <c r="Y6" s="408"/>
      <c r="AA6" s="810" t="s">
        <v>197</v>
      </c>
      <c r="AB6" s="834" t="s">
        <v>198</v>
      </c>
      <c r="AC6" s="835"/>
      <c r="AD6" s="834" t="s">
        <v>199</v>
      </c>
      <c r="AE6" s="810" t="s">
        <v>200</v>
      </c>
      <c r="AF6" s="810" t="s">
        <v>201</v>
      </c>
      <c r="AG6" s="810" t="s">
        <v>202</v>
      </c>
      <c r="AH6" s="36" t="s">
        <v>203</v>
      </c>
    </row>
    <row r="7" spans="2:34" s="37" customFormat="1" ht="26.25" customHeight="1">
      <c r="B7" s="615" t="s">
        <v>207</v>
      </c>
      <c r="C7" s="615"/>
      <c r="D7" s="615"/>
      <c r="E7" s="610" t="s">
        <v>1593</v>
      </c>
      <c r="F7" s="610"/>
      <c r="G7" s="610"/>
      <c r="H7" s="610"/>
      <c r="I7" s="610"/>
      <c r="J7" s="615" t="s">
        <v>76</v>
      </c>
      <c r="K7" s="615"/>
      <c r="L7" s="615"/>
      <c r="M7" s="610" t="s">
        <v>1592</v>
      </c>
      <c r="N7" s="610"/>
      <c r="O7" s="610"/>
      <c r="P7" s="610"/>
      <c r="R7" s="807"/>
      <c r="S7" s="152" t="s">
        <v>205</v>
      </c>
      <c r="T7" s="812">
        <f>C22</f>
        <v>0</v>
      </c>
      <c r="U7" s="812"/>
      <c r="V7" s="812"/>
      <c r="W7" s="812"/>
      <c r="X7" s="813"/>
      <c r="Y7" s="408"/>
      <c r="AA7" s="810"/>
      <c r="AB7" s="836"/>
      <c r="AC7" s="836"/>
      <c r="AD7" s="836"/>
      <c r="AE7" s="810"/>
      <c r="AF7" s="810"/>
      <c r="AG7" s="810"/>
      <c r="AH7" s="36" t="s">
        <v>206</v>
      </c>
    </row>
    <row r="8" spans="2:34" s="37" customFormat="1" ht="26.25" customHeight="1">
      <c r="B8" s="753" t="s">
        <v>211</v>
      </c>
      <c r="C8" s="753"/>
      <c r="D8" s="753"/>
      <c r="E8" s="753"/>
      <c r="F8" s="753"/>
      <c r="G8" s="753"/>
      <c r="H8" s="753"/>
      <c r="I8" s="753"/>
      <c r="J8" s="753"/>
      <c r="K8" s="753"/>
      <c r="L8" s="753"/>
      <c r="M8" s="753"/>
      <c r="N8" s="753"/>
      <c r="O8" s="753"/>
      <c r="P8" s="753"/>
      <c r="R8" s="406" t="s">
        <v>208</v>
      </c>
      <c r="S8" s="801">
        <f>G21</f>
        <v>0</v>
      </c>
      <c r="T8" s="801"/>
      <c r="U8" s="801"/>
      <c r="V8" s="801"/>
      <c r="W8" s="801"/>
      <c r="X8" s="802"/>
      <c r="Y8" s="11"/>
      <c r="AA8" s="38"/>
      <c r="AB8" s="822" t="s">
        <v>1380</v>
      </c>
      <c r="AC8" s="823"/>
      <c r="AD8" s="38"/>
      <c r="AE8" s="39"/>
      <c r="AF8" s="38"/>
      <c r="AG8" s="40"/>
    </row>
    <row r="9" spans="2:34" s="37" customFormat="1" ht="26.25" customHeight="1">
      <c r="B9" s="755" t="s">
        <v>228</v>
      </c>
      <c r="C9" s="755"/>
      <c r="D9" s="755"/>
      <c r="E9" s="755"/>
      <c r="F9" s="755"/>
      <c r="G9" s="755"/>
      <c r="H9" s="755"/>
      <c r="I9" s="755"/>
      <c r="J9" s="755"/>
      <c r="K9" s="755"/>
      <c r="L9" s="755"/>
      <c r="M9" s="755"/>
      <c r="N9" s="755"/>
      <c r="O9" s="755"/>
      <c r="P9" s="755"/>
      <c r="R9" s="406" t="s">
        <v>209</v>
      </c>
      <c r="S9" s="799">
        <f>G23</f>
        <v>0</v>
      </c>
      <c r="T9" s="799"/>
      <c r="U9" s="148" t="s">
        <v>210</v>
      </c>
      <c r="V9" s="799">
        <f>M23</f>
        <v>0</v>
      </c>
      <c r="W9" s="799"/>
      <c r="X9" s="800"/>
      <c r="Y9" s="408"/>
      <c r="AA9" s="41"/>
      <c r="AB9" s="41"/>
      <c r="AC9" s="41"/>
      <c r="AD9" s="41"/>
      <c r="AE9" s="41"/>
      <c r="AF9" s="41"/>
      <c r="AG9" s="41"/>
    </row>
    <row r="10" spans="2:34" s="37" customFormat="1" ht="22.5" customHeight="1">
      <c r="B10" s="616" t="s">
        <v>229</v>
      </c>
      <c r="C10" s="616"/>
      <c r="D10" s="616"/>
      <c r="E10" s="610"/>
      <c r="F10" s="610"/>
      <c r="G10" s="610"/>
      <c r="H10" s="610"/>
      <c r="I10" s="610"/>
      <c r="J10" s="610"/>
      <c r="K10" s="610"/>
      <c r="L10" s="610"/>
      <c r="M10" s="610"/>
      <c r="N10" s="610"/>
      <c r="O10" s="610"/>
      <c r="P10" s="610"/>
      <c r="Q10" s="42"/>
      <c r="R10" s="790" t="s">
        <v>1378</v>
      </c>
      <c r="S10" s="791"/>
      <c r="T10" s="791"/>
      <c r="U10" s="791"/>
      <c r="V10" s="791"/>
      <c r="W10" s="791"/>
      <c r="X10" s="792"/>
      <c r="Y10" s="408"/>
      <c r="AA10" s="149" t="s">
        <v>212</v>
      </c>
      <c r="AB10" s="150"/>
      <c r="AC10" s="43"/>
      <c r="AD10" s="43"/>
      <c r="AE10" s="43"/>
      <c r="AF10" s="43"/>
      <c r="AG10" s="44"/>
    </row>
    <row r="11" spans="2:34" ht="22.5" customHeight="1">
      <c r="B11" s="616"/>
      <c r="C11" s="616"/>
      <c r="D11" s="616"/>
      <c r="E11" s="610"/>
      <c r="F11" s="610"/>
      <c r="G11" s="610"/>
      <c r="H11" s="610"/>
      <c r="I11" s="610"/>
      <c r="J11" s="610"/>
      <c r="K11" s="610"/>
      <c r="L11" s="610"/>
      <c r="M11" s="610"/>
      <c r="N11" s="610"/>
      <c r="O11" s="610"/>
      <c r="P11" s="610"/>
      <c r="R11" s="803" t="s">
        <v>214</v>
      </c>
      <c r="S11" s="804"/>
      <c r="T11" s="804"/>
      <c r="U11" s="804"/>
      <c r="V11" s="804"/>
      <c r="W11" s="804"/>
      <c r="X11" s="805"/>
      <c r="Y11" s="409"/>
      <c r="AA11" s="793" t="s">
        <v>1381</v>
      </c>
      <c r="AB11" s="794"/>
      <c r="AC11" s="794"/>
      <c r="AD11" s="794"/>
      <c r="AE11" s="794"/>
      <c r="AF11" s="794"/>
      <c r="AG11" s="795"/>
    </row>
    <row r="12" spans="2:34" ht="22.5" customHeight="1">
      <c r="B12" s="616"/>
      <c r="C12" s="616"/>
      <c r="D12" s="616"/>
      <c r="E12" s="610"/>
      <c r="F12" s="610"/>
      <c r="G12" s="610"/>
      <c r="H12" s="610"/>
      <c r="I12" s="610"/>
      <c r="J12" s="610"/>
      <c r="K12" s="610"/>
      <c r="L12" s="610"/>
      <c r="M12" s="610"/>
      <c r="N12" s="610"/>
      <c r="O12" s="610"/>
      <c r="P12" s="610"/>
      <c r="R12" s="779"/>
      <c r="S12" s="773"/>
      <c r="T12" s="773"/>
      <c r="U12" s="773"/>
      <c r="V12" s="773"/>
      <c r="W12" s="773"/>
      <c r="X12" s="774"/>
      <c r="Y12" s="409"/>
      <c r="AA12" s="793"/>
      <c r="AB12" s="794"/>
      <c r="AC12" s="794"/>
      <c r="AD12" s="794"/>
      <c r="AE12" s="794"/>
      <c r="AF12" s="794"/>
      <c r="AG12" s="795"/>
    </row>
    <row r="13" spans="2:34" ht="45" customHeight="1">
      <c r="B13" s="616" t="s">
        <v>230</v>
      </c>
      <c r="C13" s="616"/>
      <c r="D13" s="616"/>
      <c r="E13" s="610"/>
      <c r="F13" s="610"/>
      <c r="G13" s="610"/>
      <c r="H13" s="610"/>
      <c r="I13" s="610"/>
      <c r="J13" s="616" t="s">
        <v>231</v>
      </c>
      <c r="K13" s="616"/>
      <c r="L13" s="610"/>
      <c r="M13" s="610"/>
      <c r="N13" s="610"/>
      <c r="O13" s="610"/>
      <c r="P13" s="610"/>
      <c r="R13" s="779"/>
      <c r="S13" s="773"/>
      <c r="T13" s="773"/>
      <c r="U13" s="773"/>
      <c r="V13" s="773"/>
      <c r="W13" s="773"/>
      <c r="X13" s="774"/>
      <c r="Y13" s="409"/>
      <c r="AA13" s="793"/>
      <c r="AB13" s="794"/>
      <c r="AC13" s="794"/>
      <c r="AD13" s="794"/>
      <c r="AE13" s="794"/>
      <c r="AF13" s="794"/>
      <c r="AG13" s="795"/>
    </row>
    <row r="14" spans="2:34" s="37" customFormat="1" ht="22.5" customHeight="1">
      <c r="B14" s="615" t="s">
        <v>232</v>
      </c>
      <c r="C14" s="615"/>
      <c r="D14" s="615"/>
      <c r="E14" s="610"/>
      <c r="F14" s="610"/>
      <c r="G14" s="610"/>
      <c r="H14" s="610"/>
      <c r="I14" s="610"/>
      <c r="J14" s="610"/>
      <c r="K14" s="610"/>
      <c r="L14" s="610"/>
      <c r="M14" s="610"/>
      <c r="N14" s="610"/>
      <c r="O14" s="610"/>
      <c r="P14" s="610"/>
      <c r="R14" s="778" t="s">
        <v>223</v>
      </c>
      <c r="S14" s="771"/>
      <c r="T14" s="771"/>
      <c r="U14" s="771"/>
      <c r="V14" s="771"/>
      <c r="W14" s="771"/>
      <c r="X14" s="772"/>
      <c r="Y14" s="409"/>
      <c r="AA14" s="796"/>
      <c r="AB14" s="797"/>
      <c r="AC14" s="797"/>
      <c r="AD14" s="797"/>
      <c r="AE14" s="797"/>
      <c r="AF14" s="797"/>
      <c r="AG14" s="798"/>
    </row>
    <row r="15" spans="2:34" s="37" customFormat="1" ht="22.5" customHeight="1">
      <c r="B15" s="615" t="s">
        <v>234</v>
      </c>
      <c r="C15" s="615"/>
      <c r="D15" s="615"/>
      <c r="E15" s="610"/>
      <c r="F15" s="610"/>
      <c r="G15" s="610"/>
      <c r="H15" s="610"/>
      <c r="I15" s="610"/>
      <c r="J15" s="610"/>
      <c r="K15" s="610"/>
      <c r="L15" s="610"/>
      <c r="M15" s="610"/>
      <c r="N15" s="610"/>
      <c r="O15" s="610"/>
      <c r="P15" s="610"/>
      <c r="R15" s="779"/>
      <c r="S15" s="773"/>
      <c r="T15" s="773"/>
      <c r="U15" s="773"/>
      <c r="V15" s="773"/>
      <c r="W15" s="773"/>
      <c r="X15" s="774"/>
      <c r="Y15" s="409"/>
      <c r="AA15" s="816" t="s">
        <v>221</v>
      </c>
      <c r="AB15" s="817"/>
      <c r="AC15" s="817"/>
      <c r="AD15" s="817"/>
      <c r="AE15" s="817"/>
      <c r="AF15" s="817"/>
      <c r="AG15" s="818"/>
    </row>
    <row r="16" spans="2:34" s="37" customFormat="1" ht="22.5" customHeight="1">
      <c r="B16" s="789" t="s">
        <v>813</v>
      </c>
      <c r="C16" s="789"/>
      <c r="D16" s="789"/>
      <c r="E16" s="789"/>
      <c r="F16" s="789"/>
      <c r="G16" s="789"/>
      <c r="H16" s="789"/>
      <c r="I16" s="789"/>
      <c r="J16" s="789"/>
      <c r="K16" s="789"/>
      <c r="L16" s="789"/>
      <c r="M16" s="789"/>
      <c r="N16" s="789"/>
      <c r="O16" s="789"/>
      <c r="P16" s="789"/>
      <c r="R16" s="779"/>
      <c r="S16" s="773"/>
      <c r="T16" s="773"/>
      <c r="U16" s="773"/>
      <c r="V16" s="773"/>
      <c r="W16" s="773"/>
      <c r="X16" s="774"/>
      <c r="Y16" s="409"/>
      <c r="AA16" s="824" t="s">
        <v>1426</v>
      </c>
      <c r="AB16" s="825"/>
      <c r="AC16" s="826"/>
      <c r="AD16" s="826"/>
      <c r="AE16" s="826"/>
      <c r="AF16" s="826"/>
      <c r="AG16" s="827"/>
    </row>
    <row r="17" spans="2:33" s="37" customFormat="1" ht="22.75" customHeight="1">
      <c r="B17" s="762" t="s">
        <v>213</v>
      </c>
      <c r="C17" s="762"/>
      <c r="D17" s="762"/>
      <c r="E17" s="762"/>
      <c r="F17" s="762"/>
      <c r="G17" s="6"/>
      <c r="H17" s="6"/>
      <c r="I17" s="6"/>
      <c r="J17" s="6"/>
      <c r="K17" s="6"/>
      <c r="L17" s="6"/>
      <c r="M17" s="6"/>
      <c r="N17" s="757" t="s">
        <v>1377</v>
      </c>
      <c r="O17" s="758"/>
      <c r="P17" s="758"/>
      <c r="R17" s="780"/>
      <c r="S17" s="775"/>
      <c r="T17" s="775"/>
      <c r="U17" s="775"/>
      <c r="V17" s="775"/>
      <c r="W17" s="775"/>
      <c r="X17" s="776"/>
      <c r="Y17" s="409"/>
      <c r="AA17" s="824" t="s">
        <v>226</v>
      </c>
      <c r="AB17" s="825"/>
      <c r="AC17" s="826"/>
      <c r="AD17" s="826"/>
      <c r="AE17" s="826"/>
      <c r="AF17" s="826"/>
      <c r="AG17" s="827"/>
    </row>
    <row r="18" spans="2:33" s="37" customFormat="1" ht="30" customHeight="1">
      <c r="B18" s="615" t="s">
        <v>224</v>
      </c>
      <c r="C18" s="615"/>
      <c r="D18" s="615"/>
      <c r="E18" s="615"/>
      <c r="F18" s="615"/>
      <c r="G18" s="615" t="s">
        <v>1110</v>
      </c>
      <c r="H18" s="615"/>
      <c r="I18" s="615"/>
      <c r="J18" s="615" t="s">
        <v>225</v>
      </c>
      <c r="K18" s="615"/>
      <c r="L18" s="615"/>
      <c r="M18" s="615"/>
      <c r="N18" s="615"/>
      <c r="O18" s="615"/>
      <c r="P18" s="615"/>
      <c r="R18" s="768" t="s">
        <v>1379</v>
      </c>
      <c r="S18" s="769"/>
      <c r="T18" s="769"/>
      <c r="U18" s="769"/>
      <c r="V18" s="769"/>
      <c r="W18" s="769"/>
      <c r="X18" s="770"/>
      <c r="Y18" s="408"/>
      <c r="AA18" s="828" t="s">
        <v>227</v>
      </c>
      <c r="AB18" s="829"/>
      <c r="AC18" s="829"/>
      <c r="AD18" s="829"/>
      <c r="AE18" s="829"/>
      <c r="AF18" s="829"/>
      <c r="AG18" s="830"/>
    </row>
    <row r="19" spans="2:33" s="37" customFormat="1" ht="26.25" customHeight="1">
      <c r="B19" s="615"/>
      <c r="C19" s="615"/>
      <c r="D19" s="615"/>
      <c r="E19" s="615"/>
      <c r="F19" s="615"/>
      <c r="G19" s="610"/>
      <c r="H19" s="610"/>
      <c r="I19" s="610"/>
      <c r="J19" s="610"/>
      <c r="K19" s="610"/>
      <c r="L19" s="610"/>
      <c r="M19" s="610"/>
      <c r="N19" s="610"/>
      <c r="O19" s="610"/>
      <c r="P19" s="610"/>
      <c r="R19" s="157"/>
      <c r="S19" s="158"/>
      <c r="T19" s="158"/>
      <c r="U19" s="158"/>
      <c r="V19" s="158"/>
      <c r="W19" s="158"/>
      <c r="X19" s="159"/>
      <c r="Y19" s="161"/>
      <c r="AA19" s="828"/>
      <c r="AB19" s="829"/>
      <c r="AC19" s="829"/>
      <c r="AD19" s="829"/>
      <c r="AE19" s="829"/>
      <c r="AF19" s="829"/>
      <c r="AG19" s="830"/>
    </row>
    <row r="20" spans="2:33" ht="30" customHeight="1">
      <c r="B20" s="615" t="s">
        <v>215</v>
      </c>
      <c r="C20" s="615"/>
      <c r="D20" s="615"/>
      <c r="E20" s="615"/>
      <c r="F20" s="615"/>
      <c r="G20" s="763" t="s">
        <v>814</v>
      </c>
      <c r="H20" s="764"/>
      <c r="I20" s="765"/>
      <c r="J20" s="29" t="s">
        <v>815</v>
      </c>
      <c r="K20" s="29" t="s">
        <v>216</v>
      </c>
      <c r="L20" s="615" t="s">
        <v>217</v>
      </c>
      <c r="M20" s="615"/>
      <c r="N20" s="615" t="s">
        <v>218</v>
      </c>
      <c r="O20" s="615"/>
      <c r="P20" s="29" t="s">
        <v>219</v>
      </c>
      <c r="R20" s="160"/>
      <c r="S20" s="161"/>
      <c r="T20" s="161"/>
      <c r="U20" s="161"/>
      <c r="V20" s="161"/>
      <c r="W20" s="161"/>
      <c r="X20" s="162"/>
      <c r="Y20" s="161"/>
      <c r="AA20" s="831"/>
      <c r="AB20" s="832"/>
      <c r="AC20" s="832"/>
      <c r="AD20" s="832"/>
      <c r="AE20" s="832"/>
      <c r="AF20" s="832"/>
      <c r="AG20" s="833"/>
    </row>
    <row r="21" spans="2:33" s="37" customFormat="1" ht="26.25" customHeight="1">
      <c r="B21" s="155" t="s">
        <v>222</v>
      </c>
      <c r="C21" s="788"/>
      <c r="D21" s="788"/>
      <c r="E21" s="788"/>
      <c r="F21" s="788"/>
      <c r="G21" s="782"/>
      <c r="H21" s="783"/>
      <c r="I21" s="784"/>
      <c r="J21" s="766"/>
      <c r="K21" s="610"/>
      <c r="L21" s="781"/>
      <c r="M21" s="781"/>
      <c r="N21" s="781"/>
      <c r="O21" s="781"/>
      <c r="P21" s="610"/>
      <c r="R21" s="160"/>
      <c r="S21" s="161"/>
      <c r="T21" s="161"/>
      <c r="U21" s="161"/>
      <c r="V21" s="161"/>
      <c r="W21" s="161"/>
      <c r="X21" s="162"/>
      <c r="Y21" s="161"/>
      <c r="AA21" s="816" t="s">
        <v>1427</v>
      </c>
      <c r="AB21" s="817"/>
      <c r="AC21" s="817"/>
      <c r="AD21" s="817"/>
      <c r="AE21" s="817"/>
      <c r="AF21" s="817"/>
      <c r="AG21" s="818"/>
    </row>
    <row r="22" spans="2:33" s="37" customFormat="1" ht="26.25" customHeight="1">
      <c r="B22" s="156" t="s">
        <v>220</v>
      </c>
      <c r="C22" s="777"/>
      <c r="D22" s="777"/>
      <c r="E22" s="777"/>
      <c r="F22" s="777"/>
      <c r="G22" s="785"/>
      <c r="H22" s="786"/>
      <c r="I22" s="787"/>
      <c r="J22" s="767"/>
      <c r="K22" s="610"/>
      <c r="L22" s="781"/>
      <c r="M22" s="781"/>
      <c r="N22" s="781"/>
      <c r="O22" s="781"/>
      <c r="P22" s="610"/>
      <c r="R22" s="160"/>
      <c r="S22" s="161"/>
      <c r="T22" s="161"/>
      <c r="U22" s="161"/>
      <c r="V22" s="161"/>
      <c r="W22" s="161"/>
      <c r="X22" s="162"/>
      <c r="Y22" s="161"/>
      <c r="AA22" s="841" t="s">
        <v>1382</v>
      </c>
      <c r="AB22" s="842"/>
      <c r="AC22" s="842"/>
      <c r="AD22" s="842"/>
      <c r="AE22" s="842"/>
      <c r="AF22" s="842"/>
      <c r="AG22" s="843"/>
    </row>
    <row r="23" spans="2:33" s="37" customFormat="1" ht="26.25" customHeight="1">
      <c r="B23" s="763" t="s">
        <v>810</v>
      </c>
      <c r="C23" s="764"/>
      <c r="D23" s="764"/>
      <c r="E23" s="764"/>
      <c r="F23" s="765"/>
      <c r="G23" s="598"/>
      <c r="H23" s="600"/>
      <c r="I23" s="599"/>
      <c r="J23" s="615" t="s">
        <v>811</v>
      </c>
      <c r="K23" s="615"/>
      <c r="L23" s="615"/>
      <c r="M23" s="597"/>
      <c r="N23" s="597"/>
      <c r="O23" s="597"/>
      <c r="P23" s="597"/>
      <c r="R23" s="160"/>
      <c r="S23" s="161"/>
      <c r="T23" s="161"/>
      <c r="U23" s="161"/>
      <c r="V23" s="161"/>
      <c r="W23" s="161"/>
      <c r="X23" s="162"/>
      <c r="Y23" s="161"/>
      <c r="AA23" s="841"/>
      <c r="AB23" s="842"/>
      <c r="AC23" s="842"/>
      <c r="AD23" s="842"/>
      <c r="AE23" s="842"/>
      <c r="AF23" s="842"/>
      <c r="AG23" s="843"/>
    </row>
    <row r="24" spans="2:33" ht="30" customHeight="1">
      <c r="B24" s="850" t="s">
        <v>1425</v>
      </c>
      <c r="C24" s="850"/>
      <c r="D24" s="850"/>
      <c r="E24" s="850"/>
      <c r="F24" s="850"/>
      <c r="G24" s="850"/>
      <c r="H24" s="850"/>
      <c r="I24" s="850"/>
      <c r="J24" s="850"/>
      <c r="K24" s="850"/>
      <c r="L24" s="850"/>
      <c r="M24" s="850"/>
      <c r="N24" s="850"/>
      <c r="O24" s="850"/>
      <c r="P24" s="850"/>
      <c r="R24" s="160"/>
      <c r="S24" s="161"/>
      <c r="T24" s="161"/>
      <c r="U24" s="161"/>
      <c r="V24" s="161"/>
      <c r="W24" s="161"/>
      <c r="X24" s="162"/>
      <c r="Y24" s="161"/>
      <c r="AA24" s="841"/>
      <c r="AB24" s="842"/>
      <c r="AC24" s="842"/>
      <c r="AD24" s="842"/>
      <c r="AE24" s="842"/>
      <c r="AF24" s="842"/>
      <c r="AG24" s="843"/>
    </row>
    <row r="25" spans="2:33" s="37" customFormat="1" ht="26.25" customHeight="1">
      <c r="B25" s="616" t="s">
        <v>1372</v>
      </c>
      <c r="C25" s="616"/>
      <c r="D25" s="616"/>
      <c r="E25" s="611"/>
      <c r="F25" s="611"/>
      <c r="G25" s="611"/>
      <c r="H25" s="611"/>
      <c r="I25" s="611"/>
      <c r="J25" s="616" t="s">
        <v>1374</v>
      </c>
      <c r="K25" s="616"/>
      <c r="L25" s="611"/>
      <c r="M25" s="611"/>
      <c r="N25" s="611"/>
      <c r="O25" s="611"/>
      <c r="P25" s="611"/>
      <c r="R25" s="160"/>
      <c r="S25" s="161"/>
      <c r="T25" s="161"/>
      <c r="U25" s="161"/>
      <c r="V25" s="161"/>
      <c r="W25" s="161"/>
      <c r="X25" s="162"/>
      <c r="Y25" s="161"/>
      <c r="AA25" s="841"/>
      <c r="AB25" s="842"/>
      <c r="AC25" s="842"/>
      <c r="AD25" s="842"/>
      <c r="AE25" s="842"/>
      <c r="AF25" s="842"/>
      <c r="AG25" s="843"/>
    </row>
    <row r="26" spans="2:33" s="37" customFormat="1" ht="26.25" customHeight="1">
      <c r="B26" s="616" t="s">
        <v>1373</v>
      </c>
      <c r="C26" s="616"/>
      <c r="D26" s="616"/>
      <c r="E26" s="756" t="s">
        <v>1595</v>
      </c>
      <c r="F26" s="610"/>
      <c r="G26" s="610"/>
      <c r="H26" s="610"/>
      <c r="I26" s="610"/>
      <c r="J26" s="616" t="s">
        <v>1375</v>
      </c>
      <c r="K26" s="616"/>
      <c r="L26" s="837"/>
      <c r="M26" s="838"/>
      <c r="N26" s="838"/>
      <c r="O26" s="838"/>
      <c r="P26" s="839"/>
      <c r="R26" s="160"/>
      <c r="S26" s="161"/>
      <c r="T26" s="161"/>
      <c r="U26" s="161"/>
      <c r="V26" s="161"/>
      <c r="W26" s="161"/>
      <c r="X26" s="162"/>
      <c r="Y26" s="161"/>
      <c r="AA26" s="844"/>
      <c r="AB26" s="845"/>
      <c r="AC26" s="845"/>
      <c r="AD26" s="845"/>
      <c r="AE26" s="845"/>
      <c r="AF26" s="845"/>
      <c r="AG26" s="846"/>
    </row>
    <row r="27" spans="2:33" s="37" customFormat="1" ht="26.25" customHeight="1">
      <c r="B27" s="761"/>
      <c r="C27" s="761"/>
      <c r="D27" s="761"/>
      <c r="E27" s="761"/>
      <c r="F27" s="761"/>
      <c r="G27" s="761"/>
      <c r="H27" s="761"/>
      <c r="I27" s="761"/>
      <c r="J27" s="761"/>
      <c r="K27" s="761"/>
      <c r="L27" s="761"/>
      <c r="M27" s="761"/>
      <c r="N27" s="761"/>
      <c r="O27" s="761"/>
      <c r="P27" s="761"/>
      <c r="R27" s="160"/>
      <c r="S27" s="161"/>
      <c r="T27" s="161"/>
      <c r="U27" s="161"/>
      <c r="V27" s="161"/>
      <c r="W27" s="161"/>
      <c r="X27" s="162"/>
      <c r="Y27" s="161"/>
      <c r="AA27" s="819" t="s">
        <v>233</v>
      </c>
      <c r="AB27" s="820"/>
      <c r="AC27" s="820"/>
      <c r="AD27" s="820"/>
      <c r="AE27" s="820"/>
      <c r="AF27" s="820"/>
      <c r="AG27" s="821"/>
    </row>
    <row r="28" spans="2:33" s="37" customFormat="1" ht="26.25" customHeight="1">
      <c r="B28" s="759">
        <f ca="1">TODAY()</f>
        <v>46132</v>
      </c>
      <c r="C28" s="759"/>
      <c r="D28" s="759"/>
      <c r="E28" s="759"/>
      <c r="F28" s="759"/>
      <c r="G28" s="759"/>
      <c r="H28" s="759"/>
      <c r="I28" s="759"/>
      <c r="J28" s="759"/>
      <c r="K28" s="759"/>
      <c r="L28" s="759"/>
      <c r="M28" s="759"/>
      <c r="N28" s="759"/>
      <c r="O28" s="759"/>
      <c r="P28" s="759"/>
      <c r="R28" s="160"/>
      <c r="S28" s="161"/>
      <c r="T28" s="161"/>
      <c r="U28" s="161"/>
      <c r="V28" s="161"/>
      <c r="W28" s="161"/>
      <c r="X28" s="162"/>
      <c r="Y28" s="161"/>
      <c r="AA28" s="841" t="s">
        <v>1590</v>
      </c>
      <c r="AB28" s="842"/>
      <c r="AC28" s="842"/>
      <c r="AD28" s="842"/>
      <c r="AE28" s="842"/>
      <c r="AF28" s="842"/>
      <c r="AG28" s="843"/>
    </row>
    <row r="29" spans="2:33" s="37" customFormat="1" ht="25" customHeight="1">
      <c r="B29" s="6" t="s">
        <v>211</v>
      </c>
      <c r="C29" s="6"/>
      <c r="D29" s="6"/>
      <c r="E29" s="6"/>
      <c r="F29" s="6"/>
      <c r="G29" s="6"/>
      <c r="H29" s="6"/>
      <c r="I29" s="6"/>
      <c r="J29" s="6"/>
      <c r="K29" s="840" t="s">
        <v>78</v>
      </c>
      <c r="L29" s="840"/>
      <c r="M29" s="595" t="s">
        <v>145</v>
      </c>
      <c r="N29" s="595"/>
      <c r="O29" s="595"/>
      <c r="P29" s="595"/>
      <c r="R29" s="160"/>
      <c r="S29" s="161"/>
      <c r="T29" s="161"/>
      <c r="U29" s="161"/>
      <c r="V29" s="161"/>
      <c r="W29" s="161"/>
      <c r="X29" s="162"/>
      <c r="Y29" s="161"/>
      <c r="AA29" s="841"/>
      <c r="AB29" s="842"/>
      <c r="AC29" s="842"/>
      <c r="AD29" s="842"/>
      <c r="AE29" s="842"/>
      <c r="AF29" s="842"/>
      <c r="AG29" s="843"/>
    </row>
    <row r="30" spans="2:33" s="37" customFormat="1" ht="51" customHeight="1">
      <c r="B30" s="753" t="s">
        <v>64</v>
      </c>
      <c r="C30" s="753"/>
      <c r="D30" s="753"/>
      <c r="E30" s="753"/>
      <c r="F30" s="753"/>
      <c r="G30" s="753"/>
      <c r="H30" s="753"/>
      <c r="I30" s="753"/>
      <c r="J30" s="753"/>
      <c r="K30" s="754" t="s">
        <v>1376</v>
      </c>
      <c r="L30" s="754"/>
      <c r="M30" s="595" t="s">
        <v>875</v>
      </c>
      <c r="N30" s="595"/>
      <c r="O30" s="595"/>
      <c r="P30" s="595"/>
      <c r="R30" s="163"/>
      <c r="S30" s="164"/>
      <c r="T30" s="164"/>
      <c r="U30" s="164"/>
      <c r="V30" s="164"/>
      <c r="W30" s="164"/>
      <c r="X30" s="165"/>
      <c r="Y30" s="161"/>
      <c r="AA30" s="847"/>
      <c r="AB30" s="848"/>
      <c r="AC30" s="848"/>
      <c r="AD30" s="848"/>
      <c r="AE30" s="848"/>
      <c r="AF30" s="848"/>
      <c r="AG30" s="849"/>
    </row>
    <row r="31" spans="2:33" s="37" customFormat="1" ht="18" customHeight="1">
      <c r="B31" s="590" t="s">
        <v>1420</v>
      </c>
      <c r="C31" s="590"/>
      <c r="D31" s="590"/>
      <c r="E31" s="590"/>
      <c r="F31" s="590"/>
      <c r="G31" s="590"/>
      <c r="H31" s="590"/>
      <c r="I31" s="590"/>
      <c r="J31" s="590"/>
      <c r="K31" s="590"/>
      <c r="L31" s="590"/>
      <c r="M31" s="590"/>
      <c r="N31" s="590"/>
      <c r="O31" s="590"/>
      <c r="P31" s="590"/>
      <c r="R31" s="760"/>
      <c r="S31" s="760"/>
      <c r="T31" s="760"/>
      <c r="U31" s="760"/>
      <c r="V31" s="760"/>
      <c r="W31" s="760"/>
      <c r="X31" s="760"/>
      <c r="Y31" s="410"/>
      <c r="AA31" s="752"/>
      <c r="AB31" s="752"/>
      <c r="AC31" s="752"/>
      <c r="AD31" s="752"/>
      <c r="AE31" s="752"/>
      <c r="AF31" s="752"/>
      <c r="AG31" s="752"/>
    </row>
    <row r="32" spans="2:33" s="37" customFormat="1" ht="16.5" customHeight="1">
      <c r="B32" s="753" t="s">
        <v>64</v>
      </c>
      <c r="C32" s="753"/>
      <c r="D32" s="753"/>
      <c r="E32" s="753"/>
      <c r="F32" s="753"/>
      <c r="G32" s="753"/>
      <c r="H32" s="753"/>
      <c r="I32" s="753"/>
      <c r="J32" s="753"/>
      <c r="K32" s="753"/>
      <c r="L32" s="753"/>
      <c r="M32" s="753"/>
      <c r="N32" s="753"/>
      <c r="O32" s="753"/>
      <c r="P32" s="753"/>
      <c r="R32" s="11"/>
      <c r="S32" s="11"/>
      <c r="T32" s="11"/>
      <c r="U32" s="11"/>
      <c r="V32" s="11"/>
      <c r="W32" s="11"/>
      <c r="X32" s="11"/>
      <c r="Y32" s="11"/>
      <c r="AA32" s="46"/>
      <c r="AB32" s="46"/>
      <c r="AC32" s="46"/>
      <c r="AD32" s="46"/>
      <c r="AE32" s="46"/>
      <c r="AF32" s="46"/>
      <c r="AG32" s="46"/>
    </row>
    <row r="33" spans="2:33" s="46" customFormat="1">
      <c r="B33" s="35"/>
      <c r="C33" s="35"/>
      <c r="D33" s="35"/>
      <c r="E33" s="35"/>
      <c r="F33" s="35"/>
      <c r="G33" s="35"/>
      <c r="H33" s="35"/>
      <c r="I33" s="35"/>
      <c r="J33" s="35"/>
      <c r="K33" s="35"/>
      <c r="L33" s="35"/>
      <c r="M33" s="35"/>
      <c r="N33" s="35"/>
      <c r="O33" s="35"/>
      <c r="P33" s="35"/>
      <c r="R33" s="11"/>
      <c r="S33" s="11"/>
      <c r="T33" s="11"/>
      <c r="U33" s="11"/>
      <c r="V33" s="11"/>
      <c r="W33" s="11"/>
      <c r="X33" s="11"/>
      <c r="Y33" s="11"/>
      <c r="AA33" s="47"/>
      <c r="AB33" s="47"/>
      <c r="AC33" s="11"/>
      <c r="AD33" s="11"/>
      <c r="AE33" s="11"/>
      <c r="AF33" s="11"/>
      <c r="AG33" s="11"/>
    </row>
    <row r="34" spans="2:33" ht="18" customHeight="1">
      <c r="AA34" s="47"/>
      <c r="AB34" s="47"/>
    </row>
    <row r="35" spans="2:33" s="46" customFormat="1">
      <c r="B35" s="35"/>
      <c r="C35" s="35"/>
      <c r="D35" s="35"/>
      <c r="E35" s="35"/>
      <c r="F35" s="35"/>
      <c r="G35" s="35"/>
      <c r="H35" s="35"/>
      <c r="I35" s="35"/>
      <c r="J35" s="35"/>
      <c r="K35" s="35"/>
      <c r="L35" s="35"/>
      <c r="M35" s="35"/>
      <c r="N35" s="35"/>
      <c r="O35" s="35"/>
      <c r="P35" s="35"/>
      <c r="R35" s="11"/>
      <c r="S35" s="11"/>
      <c r="T35" s="11"/>
      <c r="U35" s="11"/>
      <c r="V35" s="11"/>
      <c r="W35" s="11"/>
      <c r="X35" s="11"/>
      <c r="Y35" s="11"/>
      <c r="AA35" s="47"/>
      <c r="AB35" s="47"/>
      <c r="AC35" s="11"/>
      <c r="AD35" s="11"/>
      <c r="AE35" s="11"/>
      <c r="AF35" s="11"/>
      <c r="AG35" s="11"/>
    </row>
    <row r="36" spans="2:33" ht="20.149999999999999" customHeight="1">
      <c r="AA36" s="47"/>
      <c r="AB36" s="47"/>
    </row>
    <row r="37" spans="2:33" ht="22.75" customHeight="1">
      <c r="AA37" s="47"/>
      <c r="AB37" s="47"/>
    </row>
    <row r="38" spans="2:33" ht="34.5" customHeight="1">
      <c r="AA38" s="47"/>
      <c r="AB38" s="47"/>
    </row>
    <row r="39" spans="2:33" s="46" customFormat="1" ht="51.75" customHeight="1">
      <c r="B39" s="35"/>
      <c r="C39" s="35"/>
      <c r="D39" s="35"/>
      <c r="E39" s="35"/>
      <c r="F39" s="35"/>
      <c r="G39" s="35"/>
      <c r="H39" s="35"/>
      <c r="I39" s="35"/>
      <c r="J39" s="35"/>
      <c r="K39" s="35"/>
      <c r="L39" s="35"/>
      <c r="M39" s="35"/>
      <c r="N39" s="35"/>
      <c r="O39" s="35"/>
      <c r="P39" s="35"/>
      <c r="R39" s="11"/>
      <c r="S39" s="11"/>
      <c r="T39" s="11"/>
      <c r="U39" s="11"/>
      <c r="V39" s="11"/>
      <c r="W39" s="11"/>
      <c r="X39" s="11"/>
      <c r="Y39" s="11"/>
      <c r="AA39" s="47"/>
      <c r="AB39" s="47"/>
      <c r="AC39" s="11"/>
      <c r="AD39" s="11"/>
      <c r="AE39" s="11"/>
      <c r="AF39" s="11"/>
      <c r="AG39" s="11"/>
    </row>
    <row r="40" spans="2:33">
      <c r="AA40" s="47"/>
      <c r="AB40" s="47"/>
    </row>
    <row r="41" spans="2:33">
      <c r="AA41" s="47"/>
      <c r="AB41" s="47"/>
    </row>
    <row r="42" spans="2:33">
      <c r="AA42" s="47"/>
      <c r="AB42" s="47"/>
    </row>
    <row r="43" spans="2:33">
      <c r="AA43" s="47"/>
      <c r="AB43" s="47"/>
    </row>
    <row r="44" spans="2:33">
      <c r="AA44" s="47"/>
      <c r="AB44" s="47"/>
    </row>
    <row r="45" spans="2:33">
      <c r="AA45" s="47"/>
      <c r="AB45" s="47"/>
    </row>
    <row r="46" spans="2:33">
      <c r="AA46" s="47"/>
      <c r="AB46" s="47"/>
    </row>
    <row r="47" spans="2:33">
      <c r="AA47" s="47"/>
      <c r="AB47" s="47"/>
    </row>
    <row r="48" spans="2:33">
      <c r="R48" s="47"/>
      <c r="AA48" s="47"/>
      <c r="AB48" s="47"/>
    </row>
    <row r="49" spans="18:28">
      <c r="R49" s="47"/>
      <c r="AA49" s="47"/>
      <c r="AB49" s="47"/>
    </row>
    <row r="50" spans="18:28">
      <c r="R50" s="47"/>
      <c r="AA50" s="47"/>
      <c r="AB50" s="47"/>
    </row>
    <row r="51" spans="18:28">
      <c r="R51" s="47"/>
      <c r="AA51" s="47"/>
      <c r="AB51" s="47"/>
    </row>
    <row r="52" spans="18:28">
      <c r="R52" s="47"/>
      <c r="AA52" s="47"/>
      <c r="AB52" s="47"/>
    </row>
    <row r="53" spans="18:28">
      <c r="R53" s="47"/>
      <c r="AA53" s="47"/>
      <c r="AB53" s="47"/>
    </row>
    <row r="54" spans="18:28">
      <c r="R54" s="47"/>
      <c r="AA54" s="47"/>
      <c r="AB54" s="47"/>
    </row>
    <row r="55" spans="18:28">
      <c r="R55" s="47"/>
      <c r="AA55" s="47"/>
      <c r="AB55" s="47"/>
    </row>
    <row r="56" spans="18:28">
      <c r="R56" s="47"/>
    </row>
    <row r="57" spans="18:28">
      <c r="R57" s="47"/>
    </row>
    <row r="58" spans="18:28">
      <c r="R58" s="47"/>
    </row>
    <row r="59" spans="18:28">
      <c r="R59" s="47"/>
    </row>
    <row r="60" spans="18:28">
      <c r="R60" s="47"/>
    </row>
  </sheetData>
  <protectedRanges>
    <protectedRange sqref="Q10" name="범위1_1"/>
  </protectedRanges>
  <mergeCells count="100">
    <mergeCell ref="L26:P26"/>
    <mergeCell ref="K29:L29"/>
    <mergeCell ref="M29:P29"/>
    <mergeCell ref="AA22:AG26"/>
    <mergeCell ref="AA28:AG30"/>
    <mergeCell ref="L25:P25"/>
    <mergeCell ref="B24:P24"/>
    <mergeCell ref="M23:P23"/>
    <mergeCell ref="AE6:AE7"/>
    <mergeCell ref="AF6:AF7"/>
    <mergeCell ref="AG6:AG7"/>
    <mergeCell ref="AB6:AC7"/>
    <mergeCell ref="AD6:AD7"/>
    <mergeCell ref="AA15:AG15"/>
    <mergeCell ref="AA27:AG27"/>
    <mergeCell ref="AA21:AG21"/>
    <mergeCell ref="AB8:AC8"/>
    <mergeCell ref="AA16:AB16"/>
    <mergeCell ref="AC16:AG16"/>
    <mergeCell ref="AA17:AB17"/>
    <mergeCell ref="AC17:AG17"/>
    <mergeCell ref="AA18:AG20"/>
    <mergeCell ref="B4:P4"/>
    <mergeCell ref="R4:X4"/>
    <mergeCell ref="R6:R7"/>
    <mergeCell ref="T6:X6"/>
    <mergeCell ref="AA6:AA7"/>
    <mergeCell ref="B5:P5"/>
    <mergeCell ref="J6:L6"/>
    <mergeCell ref="M6:P6"/>
    <mergeCell ref="T7:X7"/>
    <mergeCell ref="B6:D6"/>
    <mergeCell ref="E6:I6"/>
    <mergeCell ref="AA4:AG5"/>
    <mergeCell ref="B7:D7"/>
    <mergeCell ref="E7:I7"/>
    <mergeCell ref="J7:L7"/>
    <mergeCell ref="M7:P7"/>
    <mergeCell ref="B14:D14"/>
    <mergeCell ref="E14:P14"/>
    <mergeCell ref="B8:P8"/>
    <mergeCell ref="R10:X10"/>
    <mergeCell ref="AA11:AG14"/>
    <mergeCell ref="S9:T9"/>
    <mergeCell ref="V9:X9"/>
    <mergeCell ref="S8:X8"/>
    <mergeCell ref="R11:R13"/>
    <mergeCell ref="S11:X13"/>
    <mergeCell ref="B13:D13"/>
    <mergeCell ref="E13:I13"/>
    <mergeCell ref="J13:K13"/>
    <mergeCell ref="L13:P13"/>
    <mergeCell ref="R18:X18"/>
    <mergeCell ref="S14:X17"/>
    <mergeCell ref="C22:F22"/>
    <mergeCell ref="R14:R17"/>
    <mergeCell ref="K21:K22"/>
    <mergeCell ref="L21:M22"/>
    <mergeCell ref="N21:O22"/>
    <mergeCell ref="P21:P22"/>
    <mergeCell ref="G21:I22"/>
    <mergeCell ref="C21:F21"/>
    <mergeCell ref="B20:F20"/>
    <mergeCell ref="L20:M20"/>
    <mergeCell ref="B15:D15"/>
    <mergeCell ref="E15:P15"/>
    <mergeCell ref="B16:P16"/>
    <mergeCell ref="B18:F19"/>
    <mergeCell ref="N17:P17"/>
    <mergeCell ref="B32:P32"/>
    <mergeCell ref="B28:P28"/>
    <mergeCell ref="R31:X31"/>
    <mergeCell ref="B27:P27"/>
    <mergeCell ref="M30:P30"/>
    <mergeCell ref="B17:F17"/>
    <mergeCell ref="B23:F23"/>
    <mergeCell ref="J21:J22"/>
    <mergeCell ref="G20:I20"/>
    <mergeCell ref="G23:I23"/>
    <mergeCell ref="G18:I18"/>
    <mergeCell ref="J18:P18"/>
    <mergeCell ref="G19:I19"/>
    <mergeCell ref="J19:P19"/>
    <mergeCell ref="N20:O20"/>
    <mergeCell ref="AA31:AG31"/>
    <mergeCell ref="B30:J30"/>
    <mergeCell ref="K30:L30"/>
    <mergeCell ref="B9:P9"/>
    <mergeCell ref="B10:D12"/>
    <mergeCell ref="E10:P10"/>
    <mergeCell ref="E11:P11"/>
    <mergeCell ref="E12:P12"/>
    <mergeCell ref="B26:D26"/>
    <mergeCell ref="E26:I26"/>
    <mergeCell ref="J26:K26"/>
    <mergeCell ref="B31:P31"/>
    <mergeCell ref="B25:D25"/>
    <mergeCell ref="E25:I25"/>
    <mergeCell ref="J25:K25"/>
    <mergeCell ref="J23:L23"/>
  </mergeCells>
  <phoneticPr fontId="4" type="noConversion"/>
  <dataValidations count="4">
    <dataValidation allowBlank="1" showInputMessage="1" showErrorMessage="1" prompt="외자인 경우만 기재" sqref="AB8" xr:uid="{00000000-0002-0000-0200-000000000000}"/>
    <dataValidation allowBlank="1" showInputMessage="1" showErrorMessage="1" prompt="구매방식(입찰) 신청시, 미기재" sqref="S8:Y8" xr:uid="{00000000-0002-0000-0200-000001000000}"/>
    <dataValidation allowBlank="1" showInputMessage="1" showErrorMessage="1" prompt="비소모품만 기재" sqref="G19:P19" xr:uid="{00000000-0002-0000-0200-000002000000}"/>
    <dataValidation allowBlank="1" showInputMessage="1" showErrorMessage="1" prompt="모델명이 있는 비소모품만 기재" sqref="J23 G21" xr:uid="{00000000-0002-0000-0200-000003000000}"/>
  </dataValidations>
  <hyperlinks>
    <hyperlink ref="N17:P17" r:id="rId1" display="목록정보시스템 바로가기" xr:uid="{00000000-0004-0000-0200-000000000000}"/>
    <hyperlink ref="AH6" r:id="rId2" xr:uid="{00000000-0004-0000-0200-000001000000}"/>
    <hyperlink ref="AH7" r:id="rId3" xr:uid="{00000000-0004-0000-0200-000002000000}"/>
  </hyperlinks>
  <printOptions horizontalCentered="1"/>
  <pageMargins left="0.25" right="0.25" top="0.75" bottom="0.75" header="0.3" footer="0.3"/>
  <pageSetup paperSize="9" scale="85" fitToHeight="0" orientation="portrait" cellComments="atEnd" r:id="rId4"/>
  <drawing r:id="rId5"/>
  <legacyDrawing r:id="rId6"/>
  <mc:AlternateContent xmlns:mc="http://schemas.openxmlformats.org/markup-compatibility/2006">
    <mc:Choice Requires="x14">
      <controls>
        <mc:AlternateContent xmlns:mc="http://schemas.openxmlformats.org/markup-compatibility/2006">
          <mc:Choice Requires="x14">
            <control shapeId="6145" r:id="rId7" name="Check Box 1">
              <controlPr locked="0" defaultSize="0" autoFill="0" autoLine="0" autoPict="0" altText="300만원 이상 2,000만원 미만 중앙구매">
                <anchor moveWithCells="1" sizeWithCells="1">
                  <from>
                    <xdr:col>4</xdr:col>
                    <xdr:colOff>203200</xdr:colOff>
                    <xdr:row>9</xdr:row>
                    <xdr:rowOff>69850</xdr:rowOff>
                  </from>
                  <to>
                    <xdr:col>12</xdr:col>
                    <xdr:colOff>146050</xdr:colOff>
                    <xdr:row>9</xdr:row>
                    <xdr:rowOff>247650</xdr:rowOff>
                  </to>
                </anchor>
              </controlPr>
            </control>
          </mc:Choice>
        </mc:AlternateContent>
        <mc:AlternateContent xmlns:mc="http://schemas.openxmlformats.org/markup-compatibility/2006">
          <mc:Choice Requires="x14">
            <control shapeId="6146" r:id="rId8" name="Check Box 2">
              <controlPr locked="0" defaultSize="0" autoFill="0" autoLine="0" autoPict="0" altText="2,000만원 이상 공개입찰산단구매">
                <anchor moveWithCells="1" sizeWithCells="1">
                  <from>
                    <xdr:col>4</xdr:col>
                    <xdr:colOff>203200</xdr:colOff>
                    <xdr:row>10</xdr:row>
                    <xdr:rowOff>57150</xdr:rowOff>
                  </from>
                  <to>
                    <xdr:col>10</xdr:col>
                    <xdr:colOff>0</xdr:colOff>
                    <xdr:row>10</xdr:row>
                    <xdr:rowOff>228600</xdr:rowOff>
                  </to>
                </anchor>
              </controlPr>
            </control>
          </mc:Choice>
        </mc:AlternateContent>
        <mc:AlternateContent xmlns:mc="http://schemas.openxmlformats.org/markup-compatibility/2006">
          <mc:Choice Requires="x14">
            <control shapeId="6147" r:id="rId9" name="Check Box 3">
              <controlPr locked="0" defaultSize="0" autoFill="0" autoLine="0" autoPict="0" altText="2,000만원 이상 수의계약(증빙-객관적 증빙&lt;독점계약서, 특허증 등&gt; 및 수의계약 사유서)">
                <anchor moveWithCells="1" sizeWithCells="1">
                  <from>
                    <xdr:col>4</xdr:col>
                    <xdr:colOff>203200</xdr:colOff>
                    <xdr:row>11</xdr:row>
                    <xdr:rowOff>50800</xdr:rowOff>
                  </from>
                  <to>
                    <xdr:col>11</xdr:col>
                    <xdr:colOff>457200</xdr:colOff>
                    <xdr:row>11</xdr:row>
                    <xdr:rowOff>228600</xdr:rowOff>
                  </to>
                </anchor>
              </controlPr>
            </control>
          </mc:Choice>
        </mc:AlternateContent>
        <mc:AlternateContent xmlns:mc="http://schemas.openxmlformats.org/markup-compatibility/2006">
          <mc:Choice Requires="x14">
            <control shapeId="6148" r:id="rId10" name="Check Box 4">
              <controlPr locked="0" defaultSize="0" autoFill="0" autoLine="0" autoPict="0" altText="내자">
                <anchor moveWithCells="1" sizeWithCells="1">
                  <from>
                    <xdr:col>4</xdr:col>
                    <xdr:colOff>203200</xdr:colOff>
                    <xdr:row>12</xdr:row>
                    <xdr:rowOff>95250</xdr:rowOff>
                  </from>
                  <to>
                    <xdr:col>6</xdr:col>
                    <xdr:colOff>0</xdr:colOff>
                    <xdr:row>12</xdr:row>
                    <xdr:rowOff>209550</xdr:rowOff>
                  </to>
                </anchor>
              </controlPr>
            </control>
          </mc:Choice>
        </mc:AlternateContent>
        <mc:AlternateContent xmlns:mc="http://schemas.openxmlformats.org/markup-compatibility/2006">
          <mc:Choice Requires="x14">
            <control shapeId="6149" r:id="rId11" name="Check Box 5">
              <controlPr locked="0" defaultSize="0" autoFill="0" autoLine="0" autoPict="0" altText="외자">
                <anchor moveWithCells="1" sizeWithCells="1">
                  <from>
                    <xdr:col>6</xdr:col>
                    <xdr:colOff>603250</xdr:colOff>
                    <xdr:row>12</xdr:row>
                    <xdr:rowOff>76200</xdr:rowOff>
                  </from>
                  <to>
                    <xdr:col>8</xdr:col>
                    <xdr:colOff>571500</xdr:colOff>
                    <xdr:row>12</xdr:row>
                    <xdr:rowOff>260350</xdr:rowOff>
                  </to>
                </anchor>
              </controlPr>
            </control>
          </mc:Choice>
        </mc:AlternateContent>
        <mc:AlternateContent xmlns:mc="http://schemas.openxmlformats.org/markup-compatibility/2006">
          <mc:Choice Requires="x14">
            <control shapeId="6150" r:id="rId12" name="Check Box 6">
              <controlPr locked="0" defaultSize="0" autoFill="0" autoLine="0" autoPict="0" altText="소모품">
                <anchor moveWithCells="1" sizeWithCells="1">
                  <from>
                    <xdr:col>11</xdr:col>
                    <xdr:colOff>57150</xdr:colOff>
                    <xdr:row>12</xdr:row>
                    <xdr:rowOff>190500</xdr:rowOff>
                  </from>
                  <to>
                    <xdr:col>12</xdr:col>
                    <xdr:colOff>203200</xdr:colOff>
                    <xdr:row>12</xdr:row>
                    <xdr:rowOff>393700</xdr:rowOff>
                  </to>
                </anchor>
              </controlPr>
            </control>
          </mc:Choice>
        </mc:AlternateContent>
        <mc:AlternateContent xmlns:mc="http://schemas.openxmlformats.org/markup-compatibility/2006">
          <mc:Choice Requires="x14">
            <control shapeId="6151" r:id="rId13" name="Check Box 7">
              <controlPr locked="0" defaultSize="0" autoFill="0" autoLine="0" autoPict="0" altText="비소모품">
                <anchor moveWithCells="1" sizeWithCells="1">
                  <from>
                    <xdr:col>12</xdr:col>
                    <xdr:colOff>266700</xdr:colOff>
                    <xdr:row>12</xdr:row>
                    <xdr:rowOff>190500</xdr:rowOff>
                  </from>
                  <to>
                    <xdr:col>13</xdr:col>
                    <xdr:colOff>412750</xdr:colOff>
                    <xdr:row>12</xdr:row>
                    <xdr:rowOff>412750</xdr:rowOff>
                  </to>
                </anchor>
              </controlPr>
            </control>
          </mc:Choice>
        </mc:AlternateContent>
        <mc:AlternateContent xmlns:mc="http://schemas.openxmlformats.org/markup-compatibility/2006">
          <mc:Choice Requires="x14">
            <control shapeId="6152" r:id="rId14" name="Check Box 8">
              <controlPr locked="0" defaultSize="0" autoFill="0" autoLine="0" autoPict="0" altText="신규">
                <anchor moveWithCells="1" sizeWithCells="1">
                  <from>
                    <xdr:col>4</xdr:col>
                    <xdr:colOff>203200</xdr:colOff>
                    <xdr:row>13</xdr:row>
                    <xdr:rowOff>50800</xdr:rowOff>
                  </from>
                  <to>
                    <xdr:col>6</xdr:col>
                    <xdr:colOff>12700</xdr:colOff>
                    <xdr:row>13</xdr:row>
                    <xdr:rowOff>222250</xdr:rowOff>
                  </to>
                </anchor>
              </controlPr>
            </control>
          </mc:Choice>
        </mc:AlternateContent>
        <mc:AlternateContent xmlns:mc="http://schemas.openxmlformats.org/markup-compatibility/2006">
          <mc:Choice Requires="x14">
            <control shapeId="6153" r:id="rId15" name="Check Box 9">
              <controlPr locked="0" defaultSize="0" autoFill="0" autoLine="0" autoPict="0" altText="업그레이드">
                <anchor moveWithCells="1" sizeWithCells="1">
                  <from>
                    <xdr:col>6</xdr:col>
                    <xdr:colOff>603250</xdr:colOff>
                    <xdr:row>13</xdr:row>
                    <xdr:rowOff>31750</xdr:rowOff>
                  </from>
                  <to>
                    <xdr:col>8</xdr:col>
                    <xdr:colOff>88900</xdr:colOff>
                    <xdr:row>13</xdr:row>
                    <xdr:rowOff>241300</xdr:rowOff>
                  </to>
                </anchor>
              </controlPr>
            </control>
          </mc:Choice>
        </mc:AlternateContent>
        <mc:AlternateContent xmlns:mc="http://schemas.openxmlformats.org/markup-compatibility/2006">
          <mc:Choice Requires="x14">
            <control shapeId="6154" r:id="rId16" name="Check Box 10">
              <controlPr locked="0" defaultSize="0" autoFill="0" autoLine="0" autoPict="0" altText="수리">
                <anchor moveWithCells="1" sizeWithCells="1">
                  <from>
                    <xdr:col>8</xdr:col>
                    <xdr:colOff>609600</xdr:colOff>
                    <xdr:row>13</xdr:row>
                    <xdr:rowOff>12700</xdr:rowOff>
                  </from>
                  <to>
                    <xdr:col>10</xdr:col>
                    <xdr:colOff>0</xdr:colOff>
                    <xdr:row>13</xdr:row>
                    <xdr:rowOff>260350</xdr:rowOff>
                  </to>
                </anchor>
              </controlPr>
            </control>
          </mc:Choice>
        </mc:AlternateContent>
        <mc:AlternateContent xmlns:mc="http://schemas.openxmlformats.org/markup-compatibility/2006">
          <mc:Choice Requires="x14">
            <control shapeId="6155" r:id="rId17" name="Check Box 11">
              <controlPr locked="0" defaultSize="0" autoFill="0" autoLine="0" autoPict="0" altText="유지보수">
                <anchor moveWithCells="1" sizeWithCells="1">
                  <from>
                    <xdr:col>11</xdr:col>
                    <xdr:colOff>57150</xdr:colOff>
                    <xdr:row>13</xdr:row>
                    <xdr:rowOff>31750</xdr:rowOff>
                  </from>
                  <to>
                    <xdr:col>12</xdr:col>
                    <xdr:colOff>203200</xdr:colOff>
                    <xdr:row>13</xdr:row>
                    <xdr:rowOff>241300</xdr:rowOff>
                  </to>
                </anchor>
              </controlPr>
            </control>
          </mc:Choice>
        </mc:AlternateContent>
        <mc:AlternateContent xmlns:mc="http://schemas.openxmlformats.org/markup-compatibility/2006">
          <mc:Choice Requires="x14">
            <control shapeId="6156" r:id="rId18" name="Check Box 12">
              <controlPr locked="0" defaultSize="0" autoFill="0" autoLine="0" autoPict="0" altText="기타">
                <anchor moveWithCells="1" sizeWithCells="1">
                  <from>
                    <xdr:col>13</xdr:col>
                    <xdr:colOff>298450</xdr:colOff>
                    <xdr:row>13</xdr:row>
                    <xdr:rowOff>12700</xdr:rowOff>
                  </from>
                  <to>
                    <xdr:col>14</xdr:col>
                    <xdr:colOff>438150</xdr:colOff>
                    <xdr:row>13</xdr:row>
                    <xdr:rowOff>266700</xdr:rowOff>
                  </to>
                </anchor>
              </controlPr>
            </control>
          </mc:Choice>
        </mc:AlternateContent>
        <mc:AlternateContent xmlns:mc="http://schemas.openxmlformats.org/markup-compatibility/2006">
          <mc:Choice Requires="x14">
            <control shapeId="6157" r:id="rId19" name="Check Box 13">
              <controlPr locked="0" defaultSize="0" autoFill="0" autoLine="0" autoPict="0" altText="등재">
                <anchor moveWithCells="1" sizeWithCells="1">
                  <from>
                    <xdr:col>4</xdr:col>
                    <xdr:colOff>203200</xdr:colOff>
                    <xdr:row>14</xdr:row>
                    <xdr:rowOff>19050</xdr:rowOff>
                  </from>
                  <to>
                    <xdr:col>6</xdr:col>
                    <xdr:colOff>19050</xdr:colOff>
                    <xdr:row>14</xdr:row>
                    <xdr:rowOff>260350</xdr:rowOff>
                  </to>
                </anchor>
              </controlPr>
            </control>
          </mc:Choice>
        </mc:AlternateContent>
        <mc:AlternateContent xmlns:mc="http://schemas.openxmlformats.org/markup-compatibility/2006">
          <mc:Choice Requires="x14">
            <control shapeId="6158" r:id="rId20" name="Check Box 14">
              <controlPr locked="0" defaultSize="0" autoFill="0" autoLine="0" autoPict="0" altText="비등재">
                <anchor moveWithCells="1" sizeWithCells="1">
                  <from>
                    <xdr:col>6</xdr:col>
                    <xdr:colOff>603250</xdr:colOff>
                    <xdr:row>14</xdr:row>
                    <xdr:rowOff>19050</xdr:rowOff>
                  </from>
                  <to>
                    <xdr:col>8</xdr:col>
                    <xdr:colOff>88900</xdr:colOff>
                    <xdr:row>14</xdr:row>
                    <xdr:rowOff>260350</xdr:rowOff>
                  </to>
                </anchor>
              </controlPr>
            </control>
          </mc:Choice>
        </mc:AlternateContent>
        <mc:AlternateContent xmlns:mc="http://schemas.openxmlformats.org/markup-compatibility/2006">
          <mc:Choice Requires="x14">
            <control shapeId="6159" r:id="rId21" name="Button 15">
              <controlPr defaultSize="0" print="0" autoFill="0" autoPict="0" macro="[0]!물품구매요청서">
                <anchor moveWithCells="1" sizeWithCells="1">
                  <from>
                    <xdr:col>6</xdr:col>
                    <xdr:colOff>184150</xdr:colOff>
                    <xdr:row>31</xdr:row>
                    <xdr:rowOff>203200</xdr:rowOff>
                  </from>
                  <to>
                    <xdr:col>10</xdr:col>
                    <xdr:colOff>76200</xdr:colOff>
                    <xdr:row>33</xdr:row>
                    <xdr:rowOff>146050</xdr:rowOff>
                  </to>
                </anchor>
              </controlPr>
            </control>
          </mc:Choice>
        </mc:AlternateContent>
        <mc:AlternateContent xmlns:mc="http://schemas.openxmlformats.org/markup-compatibility/2006">
          <mc:Choice Requires="x14">
            <control shapeId="6160" r:id="rId22" name="Button 16">
              <controlPr defaultSize="0" print="0" autoFill="0" autoPict="0" macro="[0]!용도설명서">
                <anchor moveWithCells="1" sizeWithCells="1">
                  <from>
                    <xdr:col>19</xdr:col>
                    <xdr:colOff>781050</xdr:colOff>
                    <xdr:row>32</xdr:row>
                    <xdr:rowOff>19050</xdr:rowOff>
                  </from>
                  <to>
                    <xdr:col>20</xdr:col>
                    <xdr:colOff>1009650</xdr:colOff>
                    <xdr:row>33</xdr:row>
                    <xdr:rowOff>171450</xdr:rowOff>
                  </to>
                </anchor>
              </controlPr>
            </control>
          </mc:Choice>
        </mc:AlternateContent>
        <mc:AlternateContent xmlns:mc="http://schemas.openxmlformats.org/markup-compatibility/2006">
          <mc:Choice Requires="x14">
            <control shapeId="6161" r:id="rId23" name="Button 17">
              <controlPr defaultSize="0" print="0" autoFill="0" autoPict="0" macro="[0]!구매규격서">
                <anchor moveWithCells="1" sizeWithCells="1">
                  <from>
                    <xdr:col>29</xdr:col>
                    <xdr:colOff>971550</xdr:colOff>
                    <xdr:row>32</xdr:row>
                    <xdr:rowOff>0</xdr:rowOff>
                  </from>
                  <to>
                    <xdr:col>30</xdr:col>
                    <xdr:colOff>933450</xdr:colOff>
                    <xdr:row>33</xdr:row>
                    <xdr:rowOff>152400</xdr:rowOff>
                  </to>
                </anchor>
              </controlPr>
            </control>
          </mc:Choice>
        </mc:AlternateContent>
        <mc:AlternateContent xmlns:mc="http://schemas.openxmlformats.org/markup-compatibility/2006">
          <mc:Choice Requires="x14">
            <control shapeId="6162" r:id="rId24" name="Check Box 18">
              <controlPr locked="0" defaultSize="0" autoFill="0" autoLine="0" autoPict="0" altText="비소모품">
                <anchor moveWithCells="1" sizeWithCells="1">
                  <from>
                    <xdr:col>13</xdr:col>
                    <xdr:colOff>469900</xdr:colOff>
                    <xdr:row>12</xdr:row>
                    <xdr:rowOff>190500</xdr:rowOff>
                  </from>
                  <to>
                    <xdr:col>15</xdr:col>
                    <xdr:colOff>336550</xdr:colOff>
                    <xdr:row>12</xdr:row>
                    <xdr:rowOff>400050</xdr:rowOff>
                  </to>
                </anchor>
              </controlPr>
            </control>
          </mc:Choice>
        </mc:AlternateContent>
        <mc:AlternateContent xmlns:mc="http://schemas.openxmlformats.org/markup-compatibility/2006">
          <mc:Choice Requires="x14">
            <control shapeId="6164" r:id="rId25" name="Check Box 20">
              <controlPr locked="0" defaultSize="0" autoFill="0" autoLine="0" autoPict="0" altText="외자">
                <anchor moveWithCells="1" sizeWithCells="1">
                  <from>
                    <xdr:col>4</xdr:col>
                    <xdr:colOff>203200</xdr:colOff>
                    <xdr:row>12</xdr:row>
                    <xdr:rowOff>298450</xdr:rowOff>
                  </from>
                  <to>
                    <xdr:col>6</xdr:col>
                    <xdr:colOff>590550</xdr:colOff>
                    <xdr:row>12</xdr:row>
                    <xdr:rowOff>495300</xdr:rowOff>
                  </to>
                </anchor>
              </controlPr>
            </control>
          </mc:Choice>
        </mc:AlternateContent>
        <mc:AlternateContent xmlns:mc="http://schemas.openxmlformats.org/markup-compatibility/2006">
          <mc:Choice Requires="x14">
            <control shapeId="6165" r:id="rId26" name="Check Box 21">
              <controlPr locked="0" defaultSize="0" autoFill="0" autoLine="0" autoPict="0" altText="외자">
                <anchor moveWithCells="1" sizeWithCells="1">
                  <from>
                    <xdr:col>6</xdr:col>
                    <xdr:colOff>603250</xdr:colOff>
                    <xdr:row>12</xdr:row>
                    <xdr:rowOff>298450</xdr:rowOff>
                  </from>
                  <to>
                    <xdr:col>8</xdr:col>
                    <xdr:colOff>717550</xdr:colOff>
                    <xdr:row>12</xdr:row>
                    <xdr:rowOff>508000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theme="4" tint="-0.499984740745262"/>
    <pageSetUpPr fitToPage="1"/>
  </sheetPr>
  <dimension ref="A1:T57"/>
  <sheetViews>
    <sheetView showGridLines="0" zoomScale="70" zoomScaleNormal="70" workbookViewId="0">
      <selection activeCell="B18" sqref="B18:J20"/>
    </sheetView>
  </sheetViews>
  <sheetFormatPr defaultRowHeight="17"/>
  <cols>
    <col min="1" max="1" width="1.25" style="35" customWidth="1"/>
    <col min="2" max="2" width="15.75" style="11" customWidth="1"/>
    <col min="3" max="6" width="9" style="11" customWidth="1"/>
    <col min="7" max="7" width="15.75" style="11" customWidth="1"/>
    <col min="8" max="10" width="9" style="11" customWidth="1"/>
    <col min="11" max="11" width="2" style="35"/>
    <col min="12" max="12" width="18.6640625" style="35" bestFit="1" customWidth="1"/>
    <col min="13" max="16" width="9" style="35" customWidth="1"/>
    <col min="17" max="17" width="12.6640625" style="35" customWidth="1"/>
    <col min="18" max="20" width="9" style="35" customWidth="1"/>
  </cols>
  <sheetData>
    <row r="1" spans="1:20" ht="27" customHeight="1">
      <c r="A1" s="4"/>
      <c r="B1" s="1"/>
      <c r="C1" s="1"/>
      <c r="D1" s="862"/>
      <c r="E1" s="862"/>
      <c r="F1" s="862"/>
      <c r="G1" s="862"/>
      <c r="H1" s="1"/>
      <c r="I1" s="1"/>
      <c r="J1" s="1"/>
      <c r="K1" s="2"/>
      <c r="L1" s="1"/>
      <c r="M1" s="1"/>
      <c r="N1" s="1"/>
      <c r="O1" s="1"/>
      <c r="P1" s="1"/>
      <c r="Q1" s="1"/>
      <c r="R1" s="1"/>
      <c r="S1" s="1"/>
      <c r="T1" s="1"/>
    </row>
    <row r="2" spans="1:20" ht="16.5" customHeight="1">
      <c r="A2" s="4"/>
      <c r="B2" s="505" t="s">
        <v>1383</v>
      </c>
      <c r="C2" s="1"/>
      <c r="D2" s="474"/>
      <c r="E2" s="474"/>
      <c r="F2" s="474"/>
      <c r="G2" s="474"/>
      <c r="H2" s="1"/>
      <c r="I2" s="1"/>
      <c r="J2" s="1"/>
      <c r="K2" s="2"/>
      <c r="L2" s="505" t="s">
        <v>1384</v>
      </c>
      <c r="M2" s="1"/>
      <c r="N2" s="1"/>
      <c r="O2" s="1"/>
      <c r="P2" s="1"/>
      <c r="Q2" s="1"/>
      <c r="R2" s="1"/>
      <c r="S2" s="1"/>
      <c r="T2" s="1"/>
    </row>
    <row r="3" spans="1:20" ht="35.25" customHeight="1">
      <c r="A3" s="4"/>
      <c r="B3" s="851" t="s">
        <v>823</v>
      </c>
      <c r="C3" s="851"/>
      <c r="D3" s="851"/>
      <c r="E3" s="851"/>
      <c r="F3" s="851"/>
      <c r="G3" s="851"/>
      <c r="H3" s="851"/>
      <c r="I3" s="851"/>
      <c r="J3" s="851"/>
      <c r="L3" s="851" t="s">
        <v>824</v>
      </c>
      <c r="M3" s="851"/>
      <c r="N3" s="851"/>
      <c r="O3" s="851"/>
      <c r="P3" s="851"/>
      <c r="Q3" s="851"/>
      <c r="R3" s="851"/>
      <c r="S3" s="851"/>
      <c r="T3" s="851"/>
    </row>
    <row r="4" spans="1:20" ht="12.75" customHeight="1">
      <c r="B4" s="854"/>
      <c r="C4" s="854"/>
      <c r="D4" s="854"/>
      <c r="E4" s="854"/>
      <c r="F4" s="854"/>
      <c r="G4" s="854"/>
      <c r="H4" s="854"/>
      <c r="I4" s="854"/>
      <c r="J4" s="854"/>
      <c r="L4" s="166"/>
      <c r="M4" s="852"/>
      <c r="N4" s="852"/>
      <c r="O4" s="852"/>
      <c r="P4" s="852"/>
      <c r="Q4" s="852"/>
      <c r="R4" s="852"/>
      <c r="S4" s="852"/>
      <c r="T4" s="852"/>
    </row>
    <row r="5" spans="1:20" ht="26.25" customHeight="1">
      <c r="B5" s="366" t="s">
        <v>1385</v>
      </c>
      <c r="C5" s="853"/>
      <c r="D5" s="853"/>
      <c r="E5" s="853"/>
      <c r="F5" s="853"/>
      <c r="G5" s="853"/>
      <c r="H5" s="853"/>
      <c r="I5" s="853"/>
      <c r="J5" s="853"/>
      <c r="L5" s="366" t="s">
        <v>1371</v>
      </c>
      <c r="M5" s="611"/>
      <c r="N5" s="611"/>
      <c r="O5" s="611"/>
      <c r="P5" s="611"/>
      <c r="Q5" s="611"/>
      <c r="R5" s="611"/>
      <c r="S5" s="611"/>
      <c r="T5" s="611"/>
    </row>
    <row r="6" spans="1:20" ht="26.25" customHeight="1">
      <c r="B6" s="366" t="s">
        <v>825</v>
      </c>
      <c r="C6" s="853"/>
      <c r="D6" s="853"/>
      <c r="E6" s="853"/>
      <c r="F6" s="853"/>
      <c r="G6" s="853"/>
      <c r="H6" s="853"/>
      <c r="I6" s="853"/>
      <c r="J6" s="853"/>
      <c r="K6" s="37"/>
      <c r="L6" s="366" t="s">
        <v>83</v>
      </c>
      <c r="M6" s="611"/>
      <c r="N6" s="611"/>
      <c r="O6" s="611"/>
      <c r="P6" s="611"/>
      <c r="Q6" s="611"/>
      <c r="R6" s="611"/>
      <c r="S6" s="611"/>
      <c r="T6" s="611"/>
    </row>
    <row r="7" spans="1:20" ht="26.25" customHeight="1">
      <c r="A7" s="37"/>
      <c r="B7" s="855" t="s">
        <v>844</v>
      </c>
      <c r="C7" s="855"/>
      <c r="D7" s="855"/>
      <c r="E7" s="855"/>
      <c r="F7" s="855"/>
      <c r="G7" s="855"/>
      <c r="H7" s="855"/>
      <c r="I7" s="855"/>
      <c r="J7" s="855"/>
      <c r="K7" s="37"/>
      <c r="L7" s="366" t="s">
        <v>826</v>
      </c>
      <c r="M7" s="611"/>
      <c r="N7" s="611"/>
      <c r="O7" s="611"/>
      <c r="P7" s="611"/>
      <c r="Q7" s="611"/>
      <c r="R7" s="611"/>
      <c r="S7" s="611"/>
      <c r="T7" s="611"/>
    </row>
    <row r="8" spans="1:20" ht="26.25" customHeight="1">
      <c r="A8" s="37"/>
      <c r="B8" s="365" t="s">
        <v>827</v>
      </c>
      <c r="C8" s="861"/>
      <c r="D8" s="861"/>
      <c r="E8" s="861"/>
      <c r="F8" s="861"/>
      <c r="G8" s="170" t="s">
        <v>828</v>
      </c>
      <c r="H8" s="861"/>
      <c r="I8" s="861"/>
      <c r="J8" s="861"/>
      <c r="K8" s="37"/>
      <c r="L8" s="855" t="s">
        <v>1429</v>
      </c>
      <c r="M8" s="855"/>
      <c r="N8" s="855"/>
      <c r="O8" s="855"/>
      <c r="P8" s="855"/>
      <c r="Q8" s="855"/>
      <c r="R8" s="855"/>
      <c r="S8" s="855"/>
      <c r="T8" s="855"/>
    </row>
    <row r="9" spans="1:20" ht="26.25" customHeight="1">
      <c r="A9" s="37"/>
      <c r="B9" s="365" t="s">
        <v>829</v>
      </c>
      <c r="C9" s="861"/>
      <c r="D9" s="861"/>
      <c r="E9" s="861"/>
      <c r="F9" s="861"/>
      <c r="G9" s="170" t="s">
        <v>1428</v>
      </c>
      <c r="H9" s="861"/>
      <c r="I9" s="861"/>
      <c r="J9" s="861"/>
      <c r="K9" s="37"/>
      <c r="L9" s="365" t="s">
        <v>830</v>
      </c>
      <c r="M9" s="861"/>
      <c r="N9" s="861"/>
      <c r="O9" s="861"/>
      <c r="P9" s="861"/>
      <c r="Q9" s="365" t="s">
        <v>831</v>
      </c>
      <c r="R9" s="861"/>
      <c r="S9" s="861"/>
      <c r="T9" s="861"/>
    </row>
    <row r="10" spans="1:20" ht="26.25" customHeight="1">
      <c r="A10" s="37"/>
      <c r="B10" s="365" t="s">
        <v>1386</v>
      </c>
      <c r="C10" s="861"/>
      <c r="D10" s="861"/>
      <c r="E10" s="861"/>
      <c r="F10" s="861"/>
      <c r="G10" s="861"/>
      <c r="H10" s="861"/>
      <c r="I10" s="861"/>
      <c r="J10" s="861"/>
      <c r="L10" s="365" t="s">
        <v>192</v>
      </c>
      <c r="M10" s="861"/>
      <c r="N10" s="861"/>
      <c r="O10" s="861"/>
      <c r="P10" s="861"/>
      <c r="Q10" s="861"/>
      <c r="R10" s="861"/>
      <c r="S10" s="861"/>
      <c r="T10" s="861"/>
    </row>
    <row r="11" spans="1:20" ht="26.25" customHeight="1">
      <c r="B11" s="865" t="s">
        <v>832</v>
      </c>
      <c r="C11" s="865"/>
      <c r="D11" s="865"/>
      <c r="E11" s="865"/>
      <c r="F11" s="865"/>
      <c r="G11" s="865"/>
      <c r="H11" s="865"/>
      <c r="I11" s="865"/>
      <c r="J11" s="865"/>
      <c r="L11" s="365" t="s">
        <v>833</v>
      </c>
      <c r="M11" s="861"/>
      <c r="N11" s="861"/>
      <c r="O11" s="861"/>
      <c r="P11" s="861"/>
      <c r="Q11" s="365" t="s">
        <v>831</v>
      </c>
      <c r="R11" s="861"/>
      <c r="S11" s="861"/>
      <c r="T11" s="861"/>
    </row>
    <row r="12" spans="1:20" ht="26.25" customHeight="1">
      <c r="B12" s="867" t="s">
        <v>1387</v>
      </c>
      <c r="C12" s="867"/>
      <c r="D12" s="867"/>
      <c r="E12" s="867"/>
      <c r="F12" s="867"/>
      <c r="G12" s="867"/>
      <c r="H12" s="867"/>
      <c r="I12" s="867"/>
      <c r="J12" s="867"/>
      <c r="L12" s="365" t="s">
        <v>192</v>
      </c>
      <c r="M12" s="861"/>
      <c r="N12" s="861"/>
      <c r="O12" s="861"/>
      <c r="P12" s="861"/>
      <c r="Q12" s="861"/>
      <c r="R12" s="861"/>
      <c r="S12" s="861"/>
      <c r="T12" s="861"/>
    </row>
    <row r="13" spans="1:20" ht="26.25" customHeight="1">
      <c r="B13" s="868"/>
      <c r="C13" s="868"/>
      <c r="D13" s="868"/>
      <c r="E13" s="868"/>
      <c r="F13" s="868"/>
      <c r="G13" s="868"/>
      <c r="H13" s="868"/>
      <c r="I13" s="868"/>
      <c r="J13" s="868"/>
      <c r="K13" s="37"/>
      <c r="L13" s="365" t="s">
        <v>834</v>
      </c>
      <c r="M13" s="861"/>
      <c r="N13" s="861"/>
      <c r="O13" s="861"/>
      <c r="P13" s="861"/>
      <c r="Q13" s="365" t="s">
        <v>831</v>
      </c>
      <c r="R13" s="861"/>
      <c r="S13" s="861"/>
      <c r="T13" s="861"/>
    </row>
    <row r="14" spans="1:20" ht="26.25" customHeight="1">
      <c r="A14" s="37"/>
      <c r="B14" s="868"/>
      <c r="C14" s="868"/>
      <c r="D14" s="868"/>
      <c r="E14" s="868"/>
      <c r="F14" s="868"/>
      <c r="G14" s="868"/>
      <c r="H14" s="868"/>
      <c r="I14" s="868"/>
      <c r="J14" s="868"/>
      <c r="K14" s="37"/>
      <c r="L14" s="365" t="s">
        <v>192</v>
      </c>
      <c r="M14" s="861"/>
      <c r="N14" s="861"/>
      <c r="O14" s="861"/>
      <c r="P14" s="861"/>
      <c r="Q14" s="861"/>
      <c r="R14" s="861"/>
      <c r="S14" s="861"/>
      <c r="T14" s="861"/>
    </row>
    <row r="15" spans="1:20" ht="26.25" customHeight="1">
      <c r="A15" s="37"/>
      <c r="B15" s="868"/>
      <c r="C15" s="868"/>
      <c r="D15" s="868"/>
      <c r="E15" s="868"/>
      <c r="F15" s="868"/>
      <c r="G15" s="868"/>
      <c r="H15" s="868"/>
      <c r="I15" s="868"/>
      <c r="J15" s="868"/>
      <c r="K15" s="37"/>
      <c r="L15" s="865" t="s">
        <v>832</v>
      </c>
      <c r="M15" s="865"/>
      <c r="N15" s="865"/>
      <c r="O15" s="865"/>
      <c r="P15" s="865"/>
      <c r="Q15" s="865"/>
      <c r="R15" s="865"/>
      <c r="S15" s="865"/>
      <c r="T15" s="865"/>
    </row>
    <row r="16" spans="1:20" ht="26.25" customHeight="1">
      <c r="A16" s="37"/>
      <c r="B16" s="868"/>
      <c r="C16" s="868"/>
      <c r="D16" s="868"/>
      <c r="E16" s="868"/>
      <c r="F16" s="868"/>
      <c r="G16" s="868"/>
      <c r="H16" s="868"/>
      <c r="I16" s="868"/>
      <c r="J16" s="868"/>
      <c r="K16" s="37"/>
      <c r="L16" s="872" t="s">
        <v>1387</v>
      </c>
      <c r="M16" s="794"/>
      <c r="N16" s="794"/>
      <c r="O16" s="794"/>
      <c r="P16" s="794"/>
      <c r="Q16" s="794"/>
      <c r="R16" s="794"/>
      <c r="S16" s="794"/>
      <c r="T16" s="873"/>
    </row>
    <row r="17" spans="1:20" ht="26.25" customHeight="1">
      <c r="A17" s="37"/>
      <c r="B17" s="866" t="s">
        <v>835</v>
      </c>
      <c r="C17" s="866"/>
      <c r="D17" s="866"/>
      <c r="E17" s="866"/>
      <c r="F17" s="866"/>
      <c r="G17" s="866"/>
      <c r="H17" s="866"/>
      <c r="I17" s="866"/>
      <c r="J17" s="866"/>
      <c r="K17" s="37"/>
      <c r="L17" s="874"/>
      <c r="M17" s="875"/>
      <c r="N17" s="875"/>
      <c r="O17" s="875"/>
      <c r="P17" s="875"/>
      <c r="Q17" s="875"/>
      <c r="R17" s="875"/>
      <c r="S17" s="875"/>
      <c r="T17" s="876"/>
    </row>
    <row r="18" spans="1:20" ht="26.25" customHeight="1">
      <c r="A18" s="37"/>
      <c r="B18" s="890"/>
      <c r="C18" s="890"/>
      <c r="D18" s="890"/>
      <c r="E18" s="890"/>
      <c r="F18" s="890"/>
      <c r="G18" s="890"/>
      <c r="H18" s="890"/>
      <c r="I18" s="890"/>
      <c r="J18" s="890"/>
      <c r="K18" s="37"/>
      <c r="L18" s="866" t="s">
        <v>835</v>
      </c>
      <c r="M18" s="866"/>
      <c r="N18" s="866"/>
      <c r="O18" s="866"/>
      <c r="P18" s="866"/>
      <c r="Q18" s="866"/>
      <c r="R18" s="866"/>
      <c r="S18" s="866"/>
      <c r="T18" s="866"/>
    </row>
    <row r="19" spans="1:20" ht="26.25" customHeight="1">
      <c r="A19" s="37"/>
      <c r="B19" s="861"/>
      <c r="C19" s="861"/>
      <c r="D19" s="861"/>
      <c r="E19" s="861"/>
      <c r="F19" s="861"/>
      <c r="G19" s="861"/>
      <c r="H19" s="861"/>
      <c r="I19" s="861"/>
      <c r="J19" s="861"/>
      <c r="L19" s="880"/>
      <c r="M19" s="881"/>
      <c r="N19" s="881"/>
      <c r="O19" s="881"/>
      <c r="P19" s="881"/>
      <c r="Q19" s="881"/>
      <c r="R19" s="881"/>
      <c r="S19" s="881"/>
      <c r="T19" s="882"/>
    </row>
    <row r="20" spans="1:20" ht="26.25" customHeight="1">
      <c r="B20" s="861"/>
      <c r="C20" s="861"/>
      <c r="D20" s="861"/>
      <c r="E20" s="861"/>
      <c r="F20" s="861"/>
      <c r="G20" s="861"/>
      <c r="H20" s="861"/>
      <c r="I20" s="861"/>
      <c r="J20" s="861"/>
      <c r="K20" s="37"/>
      <c r="L20" s="883"/>
      <c r="M20" s="884"/>
      <c r="N20" s="884"/>
      <c r="O20" s="884"/>
      <c r="P20" s="884"/>
      <c r="Q20" s="884"/>
      <c r="R20" s="884"/>
      <c r="S20" s="884"/>
      <c r="T20" s="885"/>
    </row>
    <row r="21" spans="1:20" ht="26.25" customHeight="1">
      <c r="A21" s="37"/>
      <c r="B21" s="860" t="s">
        <v>836</v>
      </c>
      <c r="C21" s="860"/>
      <c r="D21" s="860"/>
      <c r="E21" s="860"/>
      <c r="F21" s="860"/>
      <c r="G21" s="860"/>
      <c r="H21" s="860"/>
      <c r="I21" s="860"/>
      <c r="J21" s="860"/>
      <c r="K21" s="37"/>
      <c r="L21" s="860" t="s">
        <v>836</v>
      </c>
      <c r="M21" s="860"/>
      <c r="N21" s="860"/>
      <c r="O21" s="860"/>
      <c r="P21" s="860"/>
      <c r="Q21" s="860"/>
      <c r="R21" s="860"/>
      <c r="S21" s="860"/>
      <c r="T21" s="860"/>
    </row>
    <row r="22" spans="1:20" ht="26.25" customHeight="1">
      <c r="A22" s="37"/>
      <c r="B22" s="859" t="s">
        <v>837</v>
      </c>
      <c r="C22" s="859"/>
      <c r="D22" s="859"/>
      <c r="E22" s="859" t="s">
        <v>838</v>
      </c>
      <c r="F22" s="859"/>
      <c r="G22" s="496" t="s">
        <v>839</v>
      </c>
      <c r="H22" s="859" t="s">
        <v>840</v>
      </c>
      <c r="I22" s="859"/>
      <c r="J22" s="859"/>
      <c r="K22" s="37"/>
      <c r="L22" s="859" t="s">
        <v>837</v>
      </c>
      <c r="M22" s="859"/>
      <c r="N22" s="859"/>
      <c r="O22" s="859" t="s">
        <v>838</v>
      </c>
      <c r="P22" s="859"/>
      <c r="Q22" s="496" t="s">
        <v>839</v>
      </c>
      <c r="R22" s="859" t="s">
        <v>840</v>
      </c>
      <c r="S22" s="859"/>
      <c r="T22" s="859"/>
    </row>
    <row r="23" spans="1:20" ht="26.25" customHeight="1">
      <c r="A23" s="37"/>
      <c r="B23" s="863"/>
      <c r="C23" s="863"/>
      <c r="D23" s="863"/>
      <c r="E23" s="864"/>
      <c r="F23" s="864"/>
      <c r="G23" s="363"/>
      <c r="H23" s="863"/>
      <c r="I23" s="863"/>
      <c r="J23" s="863"/>
      <c r="L23" s="863"/>
      <c r="M23" s="863"/>
      <c r="N23" s="863"/>
      <c r="O23" s="864"/>
      <c r="P23" s="864"/>
      <c r="Q23" s="363"/>
      <c r="R23" s="863"/>
      <c r="S23" s="863"/>
      <c r="T23" s="863"/>
    </row>
    <row r="24" spans="1:20" ht="26.25" customHeight="1">
      <c r="B24" s="364"/>
      <c r="J24" s="375"/>
      <c r="K24" s="37"/>
      <c r="L24" s="369"/>
      <c r="T24" s="370"/>
    </row>
    <row r="25" spans="1:20" ht="26.25" customHeight="1">
      <c r="A25" s="37"/>
      <c r="B25" s="869" t="s">
        <v>841</v>
      </c>
      <c r="C25" s="870"/>
      <c r="D25" s="870"/>
      <c r="E25" s="870"/>
      <c r="F25" s="870"/>
      <c r="G25" s="870"/>
      <c r="H25" s="870"/>
      <c r="I25" s="870"/>
      <c r="J25" s="871"/>
      <c r="K25" s="37"/>
      <c r="L25" s="869" t="s">
        <v>841</v>
      </c>
      <c r="M25" s="870"/>
      <c r="N25" s="870"/>
      <c r="O25" s="870"/>
      <c r="P25" s="870"/>
      <c r="Q25" s="870"/>
      <c r="R25" s="870"/>
      <c r="S25" s="870"/>
      <c r="T25" s="871"/>
    </row>
    <row r="26" spans="1:20" ht="26.25" customHeight="1">
      <c r="A26" s="37"/>
      <c r="B26" s="856">
        <f ca="1">TODAY()</f>
        <v>46132</v>
      </c>
      <c r="C26" s="857"/>
      <c r="D26" s="857"/>
      <c r="E26" s="857"/>
      <c r="F26" s="857"/>
      <c r="G26" s="857"/>
      <c r="H26" s="857"/>
      <c r="I26" s="857"/>
      <c r="J26" s="858"/>
      <c r="K26" s="37"/>
      <c r="L26" s="856">
        <f ca="1">TODAY()</f>
        <v>46132</v>
      </c>
      <c r="M26" s="857"/>
      <c r="N26" s="857"/>
      <c r="O26" s="857"/>
      <c r="P26" s="857"/>
      <c r="Q26" s="857"/>
      <c r="R26" s="857"/>
      <c r="S26" s="857"/>
      <c r="T26" s="858"/>
    </row>
    <row r="27" spans="1:20" ht="26.25" customHeight="1">
      <c r="A27" s="37"/>
      <c r="B27" s="371"/>
      <c r="C27" s="167"/>
      <c r="D27" s="167"/>
      <c r="E27" s="167"/>
      <c r="F27" s="167"/>
      <c r="G27" s="167"/>
      <c r="H27" s="167"/>
      <c r="I27" s="167"/>
      <c r="J27" s="372"/>
      <c r="K27" s="37"/>
      <c r="L27" s="371"/>
      <c r="M27" s="167"/>
      <c r="N27" s="167"/>
      <c r="O27" s="167"/>
      <c r="P27" s="167"/>
      <c r="Q27" s="167"/>
      <c r="R27" s="167"/>
      <c r="S27" s="167"/>
      <c r="T27" s="372"/>
    </row>
    <row r="28" spans="1:20" ht="17.5">
      <c r="A28" s="37"/>
      <c r="B28" s="364"/>
      <c r="G28" s="168" t="s">
        <v>842</v>
      </c>
      <c r="H28" s="886" t="s">
        <v>875</v>
      </c>
      <c r="I28" s="886"/>
      <c r="J28" s="887"/>
      <c r="K28" s="37"/>
      <c r="L28" s="364"/>
      <c r="M28" s="11"/>
      <c r="N28" s="11"/>
      <c r="O28" s="11"/>
      <c r="P28" s="168" t="s">
        <v>842</v>
      </c>
      <c r="R28" s="886" t="s">
        <v>1106</v>
      </c>
      <c r="S28" s="886"/>
      <c r="T28" s="887"/>
    </row>
    <row r="29" spans="1:20" ht="17.5">
      <c r="A29" s="37"/>
      <c r="B29" s="373"/>
      <c r="C29" s="168"/>
      <c r="D29" s="168"/>
      <c r="E29" s="168"/>
      <c r="F29" s="168"/>
      <c r="G29" s="168" t="s">
        <v>843</v>
      </c>
      <c r="H29" s="888" t="s">
        <v>876</v>
      </c>
      <c r="I29" s="888"/>
      <c r="J29" s="889"/>
      <c r="K29" s="37"/>
      <c r="L29" s="373"/>
      <c r="M29" s="168"/>
      <c r="N29" s="168"/>
      <c r="O29" s="168"/>
      <c r="P29" s="168" t="s">
        <v>843</v>
      </c>
      <c r="R29" s="888" t="s">
        <v>145</v>
      </c>
      <c r="S29" s="888"/>
      <c r="T29" s="889"/>
    </row>
    <row r="30" spans="1:20" ht="17.5">
      <c r="A30" s="37"/>
      <c r="B30" s="373"/>
      <c r="C30" s="168"/>
      <c r="D30" s="168"/>
      <c r="E30" s="168"/>
      <c r="F30" s="168"/>
      <c r="G30" s="168"/>
      <c r="H30" s="169"/>
      <c r="I30" s="169"/>
      <c r="J30" s="374"/>
      <c r="K30" s="37"/>
      <c r="L30" s="373"/>
      <c r="M30" s="168"/>
      <c r="N30" s="168"/>
      <c r="O30" s="168"/>
      <c r="P30" s="168"/>
      <c r="Q30" s="168"/>
      <c r="R30" s="169"/>
      <c r="S30" s="169"/>
      <c r="T30" s="374"/>
    </row>
    <row r="31" spans="1:20">
      <c r="A31" s="37"/>
      <c r="B31" s="877" t="s">
        <v>1058</v>
      </c>
      <c r="C31" s="878"/>
      <c r="D31" s="878"/>
      <c r="E31" s="878"/>
      <c r="F31" s="878"/>
      <c r="G31" s="878"/>
      <c r="H31" s="878"/>
      <c r="I31" s="878"/>
      <c r="J31" s="879"/>
      <c r="K31" s="37"/>
      <c r="L31" s="877" t="s">
        <v>1058</v>
      </c>
      <c r="M31" s="878"/>
      <c r="N31" s="878"/>
      <c r="O31" s="878"/>
      <c r="P31" s="878"/>
      <c r="Q31" s="878"/>
      <c r="R31" s="878"/>
      <c r="S31" s="878"/>
      <c r="T31" s="879"/>
    </row>
    <row r="32" spans="1:20">
      <c r="A32" s="37"/>
      <c r="B32" s="47"/>
      <c r="K32" s="46"/>
    </row>
    <row r="33" spans="1:20">
      <c r="A33" s="46"/>
      <c r="B33" s="47"/>
    </row>
    <row r="34" spans="1:20">
      <c r="B34" s="46"/>
      <c r="C34" s="46"/>
      <c r="D34" s="46"/>
      <c r="E34" s="46"/>
      <c r="F34" s="46"/>
      <c r="G34" s="46"/>
      <c r="H34" s="46"/>
      <c r="I34" s="46"/>
      <c r="J34" s="46"/>
      <c r="K34" s="46"/>
    </row>
    <row r="35" spans="1:20">
      <c r="A35" s="46"/>
      <c r="B35" s="47"/>
    </row>
    <row r="36" spans="1:20">
      <c r="B36" s="47"/>
      <c r="L36" s="46"/>
      <c r="M36" s="46"/>
      <c r="N36" s="46"/>
      <c r="O36" s="46"/>
      <c r="P36" s="46"/>
      <c r="Q36" s="46"/>
      <c r="R36" s="46"/>
      <c r="S36" s="46"/>
      <c r="T36" s="46"/>
    </row>
    <row r="37" spans="1:20">
      <c r="B37" s="47"/>
    </row>
    <row r="38" spans="1:20">
      <c r="B38" s="47"/>
      <c r="K38" s="46"/>
    </row>
    <row r="39" spans="1:20">
      <c r="A39" s="46"/>
      <c r="B39" s="47"/>
    </row>
    <row r="40" spans="1:20">
      <c r="B40" s="47"/>
    </row>
    <row r="41" spans="1:20">
      <c r="B41" s="47"/>
    </row>
    <row r="42" spans="1:20">
      <c r="B42" s="47"/>
    </row>
    <row r="43" spans="1:20">
      <c r="B43" s="47"/>
    </row>
    <row r="44" spans="1:20">
      <c r="B44" s="47"/>
    </row>
    <row r="45" spans="1:20">
      <c r="B45" s="47"/>
    </row>
    <row r="46" spans="1:20">
      <c r="B46" s="47"/>
    </row>
    <row r="47" spans="1:20">
      <c r="B47" s="47"/>
    </row>
    <row r="48" spans="1:20">
      <c r="B48" s="47"/>
    </row>
    <row r="49" spans="2:2">
      <c r="B49" s="47"/>
    </row>
    <row r="50" spans="2:2">
      <c r="B50" s="47"/>
    </row>
    <row r="51" spans="2:2">
      <c r="B51" s="47"/>
    </row>
    <row r="52" spans="2:2">
      <c r="B52" s="47"/>
    </row>
    <row r="53" spans="2:2">
      <c r="B53" s="47"/>
    </row>
    <row r="54" spans="2:2">
      <c r="B54" s="47"/>
    </row>
    <row r="55" spans="2:2">
      <c r="B55" s="47"/>
    </row>
    <row r="56" spans="2:2">
      <c r="B56" s="47"/>
    </row>
    <row r="57" spans="2:2">
      <c r="B57" s="47"/>
    </row>
  </sheetData>
  <mergeCells count="58">
    <mergeCell ref="L31:T31"/>
    <mergeCell ref="L19:T20"/>
    <mergeCell ref="H28:J28"/>
    <mergeCell ref="H29:J29"/>
    <mergeCell ref="R28:T28"/>
    <mergeCell ref="R29:T29"/>
    <mergeCell ref="B31:J31"/>
    <mergeCell ref="L21:T21"/>
    <mergeCell ref="B18:J20"/>
    <mergeCell ref="M11:P11"/>
    <mergeCell ref="M13:P13"/>
    <mergeCell ref="H9:J9"/>
    <mergeCell ref="L25:T25"/>
    <mergeCell ref="B23:D23"/>
    <mergeCell ref="E23:F23"/>
    <mergeCell ref="H23:J23"/>
    <mergeCell ref="B25:J25"/>
    <mergeCell ref="L16:T17"/>
    <mergeCell ref="D1:G1"/>
    <mergeCell ref="L23:N23"/>
    <mergeCell ref="O23:P23"/>
    <mergeCell ref="R23:T23"/>
    <mergeCell ref="L15:T15"/>
    <mergeCell ref="B17:J17"/>
    <mergeCell ref="L18:T18"/>
    <mergeCell ref="C10:J10"/>
    <mergeCell ref="M10:T10"/>
    <mergeCell ref="B11:J11"/>
    <mergeCell ref="B12:J16"/>
    <mergeCell ref="M12:T12"/>
    <mergeCell ref="M14:T14"/>
    <mergeCell ref="C9:F9"/>
    <mergeCell ref="R13:T13"/>
    <mergeCell ref="R11:T11"/>
    <mergeCell ref="B7:J7"/>
    <mergeCell ref="B26:J26"/>
    <mergeCell ref="L22:N22"/>
    <mergeCell ref="O22:P22"/>
    <mergeCell ref="R22:T22"/>
    <mergeCell ref="B21:J21"/>
    <mergeCell ref="B22:D22"/>
    <mergeCell ref="E22:F22"/>
    <mergeCell ref="H22:J22"/>
    <mergeCell ref="M7:T7"/>
    <mergeCell ref="L8:T8"/>
    <mergeCell ref="C8:F8"/>
    <mergeCell ref="H8:J8"/>
    <mergeCell ref="M9:P9"/>
    <mergeCell ref="R9:T9"/>
    <mergeCell ref="L26:T26"/>
    <mergeCell ref="B3:J3"/>
    <mergeCell ref="L3:T3"/>
    <mergeCell ref="M4:T4"/>
    <mergeCell ref="C5:J5"/>
    <mergeCell ref="C6:J6"/>
    <mergeCell ref="B4:J4"/>
    <mergeCell ref="M5:T5"/>
    <mergeCell ref="M6:T6"/>
  </mergeCells>
  <phoneticPr fontId="4" type="noConversion"/>
  <pageMargins left="0.25" right="0.25" top="0.75" bottom="0.75" header="0.3" footer="0.3"/>
  <pageSetup paperSize="9" scale="96"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수의계약사유서_내자">
                <anchor moveWithCells="1" sizeWithCells="1">
                  <from>
                    <xdr:col>3</xdr:col>
                    <xdr:colOff>127000</xdr:colOff>
                    <xdr:row>31</xdr:row>
                    <xdr:rowOff>190500</xdr:rowOff>
                  </from>
                  <to>
                    <xdr:col>6</xdr:col>
                    <xdr:colOff>590550</xdr:colOff>
                    <xdr:row>33</xdr:row>
                    <xdr:rowOff>114300</xdr:rowOff>
                  </to>
                </anchor>
              </controlPr>
            </control>
          </mc:Choice>
        </mc:AlternateContent>
        <mc:AlternateContent xmlns:mc="http://schemas.openxmlformats.org/markup-compatibility/2006">
          <mc:Choice Requires="x14">
            <control shapeId="22530" r:id="rId5" name="Button 2">
              <controlPr defaultSize="0" print="0" autoFill="0" autoPict="0" macro="[0]!수의계약사유서_외자">
                <anchor moveWithCells="1" sizeWithCells="1">
                  <from>
                    <xdr:col>13</xdr:col>
                    <xdr:colOff>247650</xdr:colOff>
                    <xdr:row>31</xdr:row>
                    <xdr:rowOff>165100</xdr:rowOff>
                  </from>
                  <to>
                    <xdr:col>17</xdr:col>
                    <xdr:colOff>31750</xdr:colOff>
                    <xdr:row>33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theme="4" tint="-0.499984740745262"/>
    <pageSetUpPr fitToPage="1"/>
  </sheetPr>
  <dimension ref="A1:AF45"/>
  <sheetViews>
    <sheetView showGridLines="0" zoomScale="55" zoomScaleNormal="55" workbookViewId="0"/>
  </sheetViews>
  <sheetFormatPr defaultColWidth="9" defaultRowHeight="17"/>
  <cols>
    <col min="1" max="1" width="1.25" style="35" customWidth="1"/>
    <col min="2" max="2" width="16.08203125" style="4" customWidth="1"/>
    <col min="3" max="5" width="9" style="4"/>
    <col min="6" max="6" width="13" style="4" bestFit="1" customWidth="1"/>
    <col min="7" max="7" width="11" style="4" bestFit="1" customWidth="1"/>
    <col min="8" max="8" width="11.25" style="4" customWidth="1"/>
    <col min="9" max="9" width="1.9140625" style="4" customWidth="1"/>
    <col min="10" max="10" width="11.25" style="4" customWidth="1"/>
    <col min="11" max="11" width="2.33203125" style="4" customWidth="1"/>
    <col min="12" max="12" width="11.25" style="4" customWidth="1"/>
    <col min="13" max="13" width="10.25" style="4" customWidth="1"/>
    <col min="14" max="14" width="9" style="4"/>
    <col min="15" max="15" width="15.4140625" style="4" bestFit="1" customWidth="1"/>
    <col min="16" max="16" width="16" style="4" bestFit="1" customWidth="1"/>
    <col min="17" max="19" width="16.08203125" style="4" customWidth="1"/>
    <col min="20" max="20" width="9" style="4"/>
    <col min="21" max="21" width="16.08203125" style="4" customWidth="1"/>
    <col min="22" max="23" width="9" style="4"/>
    <col min="24" max="24" width="9.6640625" style="4" customWidth="1"/>
    <col min="25" max="25" width="13" style="4" bestFit="1" customWidth="1"/>
    <col min="26" max="26" width="11" style="4" bestFit="1" customWidth="1"/>
    <col min="27" max="27" width="11.25" style="4" customWidth="1"/>
    <col min="28" max="28" width="1.9140625" style="4" customWidth="1"/>
    <col min="29" max="29" width="11.25" style="4" customWidth="1"/>
    <col min="30" max="30" width="2.33203125" style="4" customWidth="1"/>
    <col min="31" max="31" width="11.25" style="4" customWidth="1"/>
    <col min="32" max="32" width="10.25" style="4" customWidth="1"/>
    <col min="33" max="16384" width="9" style="4"/>
  </cols>
  <sheetData>
    <row r="1" spans="1:32" ht="27.75" customHeight="1">
      <c r="A1" s="4"/>
    </row>
    <row r="2" spans="1:32" ht="32.25" customHeight="1">
      <c r="A2" s="4"/>
      <c r="B2" s="4" t="s">
        <v>147</v>
      </c>
      <c r="K2" s="64"/>
      <c r="U2" s="4" t="s">
        <v>148</v>
      </c>
      <c r="AD2" s="64"/>
    </row>
    <row r="3" spans="1:32" ht="33.5">
      <c r="B3" s="618" t="s">
        <v>37</v>
      </c>
      <c r="C3" s="618"/>
      <c r="D3" s="618"/>
      <c r="E3" s="618"/>
      <c r="F3" s="618"/>
      <c r="G3" s="618"/>
      <c r="H3" s="618"/>
      <c r="I3" s="618"/>
      <c r="J3" s="618"/>
      <c r="K3" s="618"/>
      <c r="L3" s="618"/>
      <c r="M3" s="618"/>
      <c r="U3" s="618" t="s">
        <v>291</v>
      </c>
      <c r="V3" s="618"/>
      <c r="W3" s="618"/>
      <c r="X3" s="618"/>
      <c r="Y3" s="618"/>
      <c r="Z3" s="618"/>
      <c r="AA3" s="618"/>
      <c r="AB3" s="618"/>
      <c r="AC3" s="618"/>
      <c r="AD3" s="618"/>
      <c r="AE3" s="618"/>
      <c r="AF3" s="618"/>
    </row>
    <row r="4" spans="1:32" ht="33.5">
      <c r="B4" s="25"/>
      <c r="C4" s="25"/>
      <c r="D4" s="25"/>
      <c r="E4" s="25"/>
      <c r="F4" s="25"/>
      <c r="G4" s="25"/>
      <c r="H4" s="25"/>
      <c r="I4" s="25"/>
      <c r="J4" s="25"/>
      <c r="K4" s="25"/>
      <c r="L4" s="25"/>
      <c r="M4" s="25"/>
      <c r="O4" s="497"/>
      <c r="U4" s="25"/>
      <c r="V4" s="25"/>
      <c r="W4" s="25"/>
      <c r="X4" s="25"/>
      <c r="Y4" s="25"/>
      <c r="Z4" s="25"/>
      <c r="AA4" s="25"/>
      <c r="AB4" s="25"/>
      <c r="AC4" s="25"/>
      <c r="AD4" s="25"/>
      <c r="AE4" s="25"/>
      <c r="AF4" s="25"/>
    </row>
    <row r="5" spans="1:32" ht="26.25" customHeight="1">
      <c r="B5" s="29" t="s">
        <v>257</v>
      </c>
      <c r="C5" s="610"/>
      <c r="D5" s="610"/>
      <c r="E5" s="610"/>
      <c r="F5" s="763" t="s">
        <v>204</v>
      </c>
      <c r="G5" s="764"/>
      <c r="H5" s="610"/>
      <c r="I5" s="610"/>
      <c r="J5" s="610"/>
      <c r="K5" s="610"/>
      <c r="L5" s="610"/>
      <c r="M5" s="610"/>
      <c r="O5" s="760" t="s">
        <v>1396</v>
      </c>
      <c r="P5" s="760"/>
      <c r="Q5" s="760"/>
      <c r="R5" s="760"/>
      <c r="S5" s="760"/>
      <c r="U5" s="29" t="s">
        <v>292</v>
      </c>
      <c r="V5" s="610"/>
      <c r="W5" s="610"/>
      <c r="X5" s="610"/>
      <c r="Y5" s="763" t="s">
        <v>293</v>
      </c>
      <c r="Z5" s="764"/>
      <c r="AA5" s="610"/>
      <c r="AB5" s="610"/>
      <c r="AC5" s="610"/>
      <c r="AD5" s="610"/>
      <c r="AE5" s="610"/>
      <c r="AF5" s="610"/>
    </row>
    <row r="6" spans="1:32" ht="26.25" customHeight="1">
      <c r="A6" s="37"/>
      <c r="B6" s="29" t="s">
        <v>83</v>
      </c>
      <c r="C6" s="837"/>
      <c r="D6" s="838"/>
      <c r="E6" s="839"/>
      <c r="F6" s="763" t="s">
        <v>76</v>
      </c>
      <c r="G6" s="765"/>
      <c r="H6" s="837"/>
      <c r="I6" s="838"/>
      <c r="J6" s="838"/>
      <c r="K6" s="838"/>
      <c r="L6" s="838"/>
      <c r="M6" s="839"/>
      <c r="O6" s="54" t="s">
        <v>1395</v>
      </c>
      <c r="S6" s="498" t="s">
        <v>1391</v>
      </c>
      <c r="U6" s="29" t="s">
        <v>294</v>
      </c>
      <c r="V6" s="837"/>
      <c r="W6" s="838"/>
      <c r="X6" s="839"/>
      <c r="Y6" s="763" t="s">
        <v>295</v>
      </c>
      <c r="Z6" s="765"/>
      <c r="AA6" s="837"/>
      <c r="AB6" s="838"/>
      <c r="AC6" s="838"/>
      <c r="AD6" s="838"/>
      <c r="AE6" s="838"/>
      <c r="AF6" s="839"/>
    </row>
    <row r="7" spans="1:32" ht="26.25" customHeight="1">
      <c r="A7" s="37"/>
      <c r="B7" s="178"/>
      <c r="C7" s="24"/>
      <c r="D7" s="24"/>
      <c r="E7" s="24"/>
      <c r="F7" s="24"/>
      <c r="G7" s="24"/>
      <c r="H7" s="24"/>
      <c r="I7" s="24"/>
      <c r="J7" s="24"/>
      <c r="K7" s="24"/>
      <c r="L7" s="24"/>
      <c r="M7" s="24"/>
      <c r="O7" s="615" t="s">
        <v>296</v>
      </c>
      <c r="P7" s="29" t="s">
        <v>297</v>
      </c>
      <c r="Q7" s="29" t="s">
        <v>298</v>
      </c>
      <c r="R7" s="29" t="s">
        <v>299</v>
      </c>
      <c r="S7" s="29" t="s">
        <v>300</v>
      </c>
      <c r="U7" s="24"/>
      <c r="V7" s="24"/>
      <c r="W7" s="24"/>
      <c r="X7" s="24"/>
      <c r="Y7" s="24"/>
      <c r="Z7" s="24"/>
      <c r="AA7" s="24"/>
      <c r="AB7" s="24"/>
      <c r="AC7" s="24"/>
      <c r="AD7" s="24"/>
      <c r="AE7" s="24"/>
      <c r="AF7" s="24"/>
    </row>
    <row r="8" spans="1:32" ht="26.25" customHeight="1">
      <c r="A8" s="37"/>
      <c r="B8" s="29" t="s">
        <v>304</v>
      </c>
      <c r="C8" s="936" t="s">
        <v>305</v>
      </c>
      <c r="D8" s="937"/>
      <c r="E8" s="938"/>
      <c r="F8" s="763" t="s">
        <v>306</v>
      </c>
      <c r="G8" s="764"/>
      <c r="H8" s="939" t="s">
        <v>864</v>
      </c>
      <c r="I8" s="939"/>
      <c r="J8" s="940" t="s">
        <v>3</v>
      </c>
      <c r="K8" s="940"/>
      <c r="L8" s="939" t="s">
        <v>865</v>
      </c>
      <c r="M8" s="939"/>
      <c r="O8" s="615"/>
      <c r="P8" s="29" t="s">
        <v>301</v>
      </c>
      <c r="Q8" s="29" t="s">
        <v>302</v>
      </c>
      <c r="R8" s="29" t="s">
        <v>303</v>
      </c>
      <c r="S8" s="29" t="s">
        <v>303</v>
      </c>
      <c r="U8" s="29" t="s">
        <v>310</v>
      </c>
      <c r="V8" s="598" t="s">
        <v>311</v>
      </c>
      <c r="W8" s="600"/>
      <c r="X8" s="599"/>
      <c r="Y8" s="763" t="s">
        <v>312</v>
      </c>
      <c r="Z8" s="764"/>
      <c r="AA8" s="931"/>
      <c r="AB8" s="932"/>
      <c r="AC8" s="932"/>
      <c r="AD8" s="932"/>
      <c r="AE8" s="932"/>
      <c r="AF8" s="933"/>
    </row>
    <row r="9" spans="1:32" ht="26.25" customHeight="1">
      <c r="A9" s="37"/>
      <c r="B9" s="29" t="s">
        <v>313</v>
      </c>
      <c r="C9" s="51" t="s">
        <v>314</v>
      </c>
      <c r="D9" s="934" t="s">
        <v>854</v>
      </c>
      <c r="E9" s="934"/>
      <c r="F9" s="606" t="s">
        <v>315</v>
      </c>
      <c r="G9" s="608"/>
      <c r="H9" s="176">
        <v>0.41666666666666669</v>
      </c>
      <c r="I9" s="66" t="s">
        <v>183</v>
      </c>
      <c r="J9" s="176">
        <v>0.45833333333333331</v>
      </c>
      <c r="K9" s="66" t="s">
        <v>316</v>
      </c>
      <c r="L9" s="67">
        <f>J9-H9</f>
        <v>4.166666666666663E-2</v>
      </c>
      <c r="M9" s="68" t="s">
        <v>317</v>
      </c>
      <c r="O9" s="941" t="s">
        <v>1248</v>
      </c>
      <c r="P9" s="610" t="s">
        <v>1244</v>
      </c>
      <c r="Q9" s="610" t="s">
        <v>1245</v>
      </c>
      <c r="R9" s="610" t="s">
        <v>308</v>
      </c>
      <c r="S9" s="610" t="s">
        <v>309</v>
      </c>
      <c r="U9" s="29" t="s">
        <v>318</v>
      </c>
      <c r="V9" s="51" t="s">
        <v>319</v>
      </c>
      <c r="W9" s="935"/>
      <c r="X9" s="935"/>
      <c r="Y9" s="606" t="s">
        <v>320</v>
      </c>
      <c r="Z9" s="608"/>
      <c r="AA9" s="65"/>
      <c r="AB9" s="66" t="s">
        <v>183</v>
      </c>
      <c r="AC9" s="65"/>
      <c r="AD9" s="66" t="s">
        <v>316</v>
      </c>
      <c r="AE9" s="69">
        <f>AC9-AA9</f>
        <v>0</v>
      </c>
      <c r="AF9" s="68" t="s">
        <v>321</v>
      </c>
    </row>
    <row r="10" spans="1:32" ht="26.25" customHeight="1">
      <c r="B10" s="29" t="s">
        <v>322</v>
      </c>
      <c r="C10" s="936">
        <v>1</v>
      </c>
      <c r="D10" s="937"/>
      <c r="E10" s="179" t="s">
        <v>866</v>
      </c>
      <c r="F10" s="763" t="s">
        <v>323</v>
      </c>
      <c r="G10" s="764"/>
      <c r="H10" s="943" t="s">
        <v>1247</v>
      </c>
      <c r="I10" s="944"/>
      <c r="J10" s="945"/>
      <c r="K10" s="763" t="s">
        <v>260</v>
      </c>
      <c r="L10" s="765"/>
      <c r="M10" s="177"/>
      <c r="O10" s="942"/>
      <c r="P10" s="610"/>
      <c r="Q10" s="610"/>
      <c r="R10" s="610"/>
      <c r="S10" s="610"/>
      <c r="U10" s="29" t="s">
        <v>326</v>
      </c>
      <c r="V10" s="598"/>
      <c r="W10" s="600"/>
      <c r="X10" s="31" t="s">
        <v>327</v>
      </c>
      <c r="Y10" s="763" t="s">
        <v>328</v>
      </c>
      <c r="Z10" s="764"/>
      <c r="AA10" s="837" t="s">
        <v>329</v>
      </c>
      <c r="AB10" s="838"/>
      <c r="AC10" s="839"/>
      <c r="AD10" s="763" t="s">
        <v>330</v>
      </c>
      <c r="AE10" s="765"/>
      <c r="AF10" s="70"/>
    </row>
    <row r="11" spans="1:32" ht="26.25" customHeight="1">
      <c r="B11" s="29" t="s">
        <v>331</v>
      </c>
      <c r="C11" s="610"/>
      <c r="D11" s="610"/>
      <c r="E11" s="610"/>
      <c r="F11" s="610"/>
      <c r="G11" s="610"/>
      <c r="H11" s="610"/>
      <c r="I11" s="610"/>
      <c r="J11" s="610"/>
      <c r="K11" s="610"/>
      <c r="L11" s="610"/>
      <c r="M11" s="610"/>
      <c r="O11" s="941" t="s">
        <v>1249</v>
      </c>
      <c r="P11" s="610" t="s">
        <v>307</v>
      </c>
      <c r="Q11" s="610" t="s">
        <v>1246</v>
      </c>
      <c r="R11" s="610" t="s">
        <v>324</v>
      </c>
      <c r="S11" s="610" t="s">
        <v>325</v>
      </c>
      <c r="U11" s="29" t="s">
        <v>332</v>
      </c>
      <c r="V11" s="610"/>
      <c r="W11" s="610"/>
      <c r="X11" s="610"/>
      <c r="Y11" s="610"/>
      <c r="Z11" s="610"/>
      <c r="AA11" s="610"/>
      <c r="AB11" s="610"/>
      <c r="AC11" s="610"/>
      <c r="AD11" s="610"/>
      <c r="AE11" s="610"/>
      <c r="AF11" s="610"/>
    </row>
    <row r="12" spans="1:32" ht="26.25" customHeight="1">
      <c r="B12" s="29" t="s">
        <v>807</v>
      </c>
      <c r="C12" s="941"/>
      <c r="D12" s="941"/>
      <c r="E12" s="941"/>
      <c r="F12" s="941"/>
      <c r="G12" s="941"/>
      <c r="H12" s="610"/>
      <c r="I12" s="610"/>
      <c r="J12" s="610"/>
      <c r="K12" s="610"/>
      <c r="L12" s="610"/>
      <c r="M12" s="610"/>
      <c r="O12" s="942"/>
      <c r="P12" s="610"/>
      <c r="Q12" s="610"/>
      <c r="R12" s="610"/>
      <c r="S12" s="610"/>
      <c r="U12" s="29" t="s">
        <v>333</v>
      </c>
      <c r="V12" s="941"/>
      <c r="W12" s="941"/>
      <c r="X12" s="941"/>
      <c r="Y12" s="941"/>
      <c r="Z12" s="941"/>
      <c r="AA12" s="610"/>
      <c r="AB12" s="610"/>
      <c r="AC12" s="610"/>
      <c r="AD12" s="610"/>
      <c r="AE12" s="610"/>
      <c r="AF12" s="610"/>
    </row>
    <row r="13" spans="1:32" ht="26.25" customHeight="1">
      <c r="A13" s="37"/>
      <c r="B13" s="615" t="s">
        <v>1571</v>
      </c>
      <c r="C13" s="615" t="s">
        <v>334</v>
      </c>
      <c r="D13" s="615"/>
      <c r="E13" s="615"/>
      <c r="F13" s="615"/>
      <c r="G13" s="615"/>
      <c r="H13" s="765" t="s">
        <v>335</v>
      </c>
      <c r="I13" s="765"/>
      <c r="J13" s="615"/>
      <c r="K13" s="615"/>
      <c r="L13" s="615"/>
      <c r="M13" s="615"/>
      <c r="O13" s="917" t="s">
        <v>1389</v>
      </c>
      <c r="P13" s="917"/>
      <c r="Q13" s="917"/>
      <c r="R13" s="917"/>
      <c r="S13" s="917"/>
      <c r="T13" s="71"/>
      <c r="U13" s="615" t="s">
        <v>336</v>
      </c>
      <c r="V13" s="615" t="s">
        <v>337</v>
      </c>
      <c r="W13" s="615"/>
      <c r="X13" s="615"/>
      <c r="Y13" s="615"/>
      <c r="Z13" s="615"/>
      <c r="AA13" s="765" t="s">
        <v>338</v>
      </c>
      <c r="AB13" s="765"/>
      <c r="AC13" s="615"/>
      <c r="AD13" s="615"/>
      <c r="AE13" s="615"/>
      <c r="AF13" s="615"/>
    </row>
    <row r="14" spans="1:32" ht="34">
      <c r="A14" s="37"/>
      <c r="B14" s="615"/>
      <c r="C14" s="615" t="s">
        <v>339</v>
      </c>
      <c r="D14" s="615"/>
      <c r="E14" s="29" t="s">
        <v>190</v>
      </c>
      <c r="F14" s="29" t="s">
        <v>1572</v>
      </c>
      <c r="G14" s="29" t="s">
        <v>340</v>
      </c>
      <c r="H14" s="764" t="s">
        <v>341</v>
      </c>
      <c r="I14" s="765"/>
      <c r="J14" s="763" t="s">
        <v>342</v>
      </c>
      <c r="K14" s="764"/>
      <c r="L14" s="765"/>
      <c r="M14" s="29" t="s">
        <v>343</v>
      </c>
      <c r="O14" s="918"/>
      <c r="P14" s="918"/>
      <c r="Q14" s="918"/>
      <c r="R14" s="918"/>
      <c r="S14" s="918"/>
      <c r="T14" s="6"/>
      <c r="U14" s="615"/>
      <c r="V14" s="615" t="s">
        <v>344</v>
      </c>
      <c r="W14" s="615"/>
      <c r="X14" s="29" t="s">
        <v>345</v>
      </c>
      <c r="Y14" s="29" t="s">
        <v>346</v>
      </c>
      <c r="Z14" s="29" t="s">
        <v>191</v>
      </c>
      <c r="AA14" s="764" t="s">
        <v>347</v>
      </c>
      <c r="AB14" s="765"/>
      <c r="AC14" s="763" t="s">
        <v>348</v>
      </c>
      <c r="AD14" s="764"/>
      <c r="AE14" s="765"/>
      <c r="AF14" s="29" t="s">
        <v>349</v>
      </c>
    </row>
    <row r="15" spans="1:32" ht="26.25" customHeight="1">
      <c r="A15" s="37"/>
      <c r="B15" s="615"/>
      <c r="C15" s="782"/>
      <c r="D15" s="784"/>
      <c r="E15" s="73"/>
      <c r="F15" s="175"/>
      <c r="G15" s="73"/>
      <c r="H15" s="921"/>
      <c r="I15" s="922"/>
      <c r="J15" s="921"/>
      <c r="K15" s="923"/>
      <c r="L15" s="922"/>
      <c r="M15" s="74"/>
      <c r="O15" s="919"/>
      <c r="P15" s="920"/>
      <c r="Q15" s="920"/>
      <c r="R15" s="920"/>
      <c r="S15" s="920"/>
      <c r="T15" s="72"/>
      <c r="U15" s="615"/>
      <c r="V15" s="782"/>
      <c r="W15" s="784"/>
      <c r="X15" s="73"/>
      <c r="Y15" s="73"/>
      <c r="Z15" s="73"/>
      <c r="AA15" s="921"/>
      <c r="AB15" s="922"/>
      <c r="AC15" s="921"/>
      <c r="AD15" s="923"/>
      <c r="AE15" s="922"/>
      <c r="AF15" s="74"/>
    </row>
    <row r="16" spans="1:32" ht="26.25" customHeight="1">
      <c r="A16" s="37"/>
      <c r="B16" s="615"/>
      <c r="C16" s="924" t="s">
        <v>350</v>
      </c>
      <c r="D16" s="925"/>
      <c r="E16" s="605" t="s">
        <v>351</v>
      </c>
      <c r="F16" s="605"/>
      <c r="G16" s="615" t="s">
        <v>352</v>
      </c>
      <c r="H16" s="615"/>
      <c r="I16" s="615"/>
      <c r="J16" s="615"/>
      <c r="K16" s="615"/>
      <c r="L16" s="615"/>
      <c r="M16" s="615" t="s">
        <v>353</v>
      </c>
      <c r="O16" s="54" t="s">
        <v>1390</v>
      </c>
      <c r="S16" s="498" t="s">
        <v>1392</v>
      </c>
      <c r="U16" s="615"/>
      <c r="V16" s="924" t="s">
        <v>356</v>
      </c>
      <c r="W16" s="925"/>
      <c r="X16" s="605" t="s">
        <v>357</v>
      </c>
      <c r="Y16" s="605"/>
      <c r="Z16" s="615" t="s">
        <v>358</v>
      </c>
      <c r="AA16" s="615"/>
      <c r="AB16" s="615"/>
      <c r="AC16" s="615"/>
      <c r="AD16" s="615"/>
      <c r="AE16" s="615"/>
      <c r="AF16" s="615" t="s">
        <v>359</v>
      </c>
    </row>
    <row r="17" spans="1:32" ht="27" customHeight="1">
      <c r="A17" s="37"/>
      <c r="B17" s="615"/>
      <c r="C17" s="926"/>
      <c r="D17" s="927"/>
      <c r="E17" s="605"/>
      <c r="F17" s="605"/>
      <c r="G17" s="29" t="s">
        <v>360</v>
      </c>
      <c r="H17" s="763" t="s">
        <v>361</v>
      </c>
      <c r="I17" s="765"/>
      <c r="J17" s="763" t="s">
        <v>362</v>
      </c>
      <c r="K17" s="765"/>
      <c r="L17" s="29" t="s">
        <v>363</v>
      </c>
      <c r="M17" s="615"/>
      <c r="O17" s="51" t="s">
        <v>354</v>
      </c>
      <c r="P17" s="51" t="s">
        <v>355</v>
      </c>
      <c r="Q17" s="605" t="s">
        <v>251</v>
      </c>
      <c r="R17" s="605"/>
      <c r="S17" s="605"/>
      <c r="U17" s="615"/>
      <c r="V17" s="926"/>
      <c r="W17" s="927"/>
      <c r="X17" s="605"/>
      <c r="Y17" s="605"/>
      <c r="Z17" s="29" t="s">
        <v>364</v>
      </c>
      <c r="AA17" s="763" t="s">
        <v>365</v>
      </c>
      <c r="AB17" s="765"/>
      <c r="AC17" s="763" t="s">
        <v>366</v>
      </c>
      <c r="AD17" s="765"/>
      <c r="AE17" s="75" t="s">
        <v>367</v>
      </c>
      <c r="AF17" s="615"/>
    </row>
    <row r="18" spans="1:32" ht="26.25" customHeight="1">
      <c r="A18" s="37"/>
      <c r="B18" s="615"/>
      <c r="C18" s="928"/>
      <c r="D18" s="929"/>
      <c r="E18" s="930">
        <v>0</v>
      </c>
      <c r="F18" s="930"/>
      <c r="G18" s="76">
        <v>0</v>
      </c>
      <c r="H18" s="921">
        <v>0</v>
      </c>
      <c r="I18" s="922"/>
      <c r="J18" s="921">
        <v>0</v>
      </c>
      <c r="K18" s="922"/>
      <c r="L18" s="76">
        <v>0</v>
      </c>
      <c r="M18" s="74">
        <f>SUM(E18:L18)</f>
        <v>0</v>
      </c>
      <c r="O18" s="907" t="s">
        <v>1250</v>
      </c>
      <c r="P18" s="910" t="s">
        <v>1251</v>
      </c>
      <c r="Q18" s="913" t="s">
        <v>1393</v>
      </c>
      <c r="R18" s="913"/>
      <c r="S18" s="913"/>
      <c r="U18" s="615"/>
      <c r="V18" s="928"/>
      <c r="W18" s="929"/>
      <c r="X18" s="930"/>
      <c r="Y18" s="930"/>
      <c r="Z18" s="76"/>
      <c r="AA18" s="921"/>
      <c r="AB18" s="922"/>
      <c r="AC18" s="921"/>
      <c r="AD18" s="922"/>
      <c r="AE18" s="76">
        <f>SUM(Y18:AC18)</f>
        <v>0</v>
      </c>
      <c r="AF18" s="74">
        <f>X15+AE18</f>
        <v>0</v>
      </c>
    </row>
    <row r="19" spans="1:32" ht="26.25" customHeight="1">
      <c r="B19" s="914"/>
      <c r="C19" s="915"/>
      <c r="D19" s="915"/>
      <c r="E19" s="915"/>
      <c r="F19" s="915"/>
      <c r="G19" s="915"/>
      <c r="H19" s="915"/>
      <c r="I19" s="915"/>
      <c r="J19" s="915"/>
      <c r="K19" s="915"/>
      <c r="L19" s="915"/>
      <c r="M19" s="916"/>
      <c r="O19" s="908"/>
      <c r="P19" s="911"/>
      <c r="Q19" s="913"/>
      <c r="R19" s="913"/>
      <c r="S19" s="913"/>
      <c r="U19" s="915"/>
      <c r="V19" s="915"/>
      <c r="W19" s="915"/>
      <c r="X19" s="915"/>
      <c r="Y19" s="915"/>
      <c r="Z19" s="915"/>
      <c r="AA19" s="915"/>
      <c r="AB19" s="915"/>
      <c r="AC19" s="915"/>
      <c r="AD19" s="915"/>
      <c r="AE19" s="915"/>
      <c r="AF19" s="915"/>
    </row>
    <row r="20" spans="1:32">
      <c r="A20" s="37"/>
      <c r="B20" s="904" t="s">
        <v>1438</v>
      </c>
      <c r="C20" s="905"/>
      <c r="D20" s="905"/>
      <c r="E20" s="905"/>
      <c r="F20" s="905"/>
      <c r="G20" s="905"/>
      <c r="H20" s="905"/>
      <c r="I20" s="905"/>
      <c r="J20" s="905"/>
      <c r="K20" s="905"/>
      <c r="L20" s="905"/>
      <c r="M20" s="906"/>
      <c r="O20" s="908"/>
      <c r="P20" s="911"/>
      <c r="Q20" s="913"/>
      <c r="R20" s="913"/>
      <c r="S20" s="913"/>
      <c r="U20" s="905" t="s">
        <v>1432</v>
      </c>
      <c r="V20" s="905"/>
      <c r="W20" s="905"/>
      <c r="X20" s="905"/>
      <c r="Y20" s="905"/>
      <c r="Z20" s="905"/>
      <c r="AA20" s="905"/>
      <c r="AB20" s="905"/>
      <c r="AC20" s="905"/>
      <c r="AD20" s="905"/>
      <c r="AE20" s="905"/>
      <c r="AF20" s="905"/>
    </row>
    <row r="21" spans="1:32">
      <c r="A21" s="37"/>
      <c r="B21" s="77" t="s">
        <v>151</v>
      </c>
      <c r="C21" s="14"/>
      <c r="D21" s="14"/>
      <c r="E21" s="14"/>
      <c r="F21" s="14"/>
      <c r="G21" s="14"/>
      <c r="H21" s="14"/>
      <c r="I21" s="14"/>
      <c r="J21" s="14"/>
      <c r="K21" s="14"/>
      <c r="L21" s="14"/>
      <c r="M21" s="13"/>
      <c r="O21" s="908"/>
      <c r="P21" s="911"/>
      <c r="Q21" s="913"/>
      <c r="R21" s="913"/>
      <c r="S21" s="913"/>
      <c r="U21" s="898" t="s">
        <v>1433</v>
      </c>
      <c r="V21" s="898"/>
      <c r="W21" s="898"/>
      <c r="X21" s="898"/>
      <c r="Y21" s="898"/>
      <c r="Z21" s="898"/>
      <c r="AA21" s="898"/>
      <c r="AB21" s="898"/>
      <c r="AC21" s="898"/>
      <c r="AD21" s="898"/>
      <c r="AE21" s="898"/>
      <c r="AF21" s="898"/>
    </row>
    <row r="22" spans="1:32" ht="16.5" customHeight="1">
      <c r="A22" s="37"/>
      <c r="B22" s="77" t="s">
        <v>152</v>
      </c>
      <c r="C22" s="14"/>
      <c r="D22" s="14"/>
      <c r="E22" s="14"/>
      <c r="F22" s="14"/>
      <c r="G22" s="14"/>
      <c r="H22" s="14"/>
      <c r="I22" s="14"/>
      <c r="J22" s="14"/>
      <c r="K22" s="14"/>
      <c r="L22" s="14"/>
      <c r="M22" s="13"/>
      <c r="O22" s="908"/>
      <c r="P22" s="911"/>
      <c r="Q22" s="913"/>
      <c r="R22" s="913"/>
      <c r="S22" s="913"/>
      <c r="U22" s="898"/>
      <c r="V22" s="898"/>
      <c r="W22" s="898"/>
      <c r="X22" s="898"/>
      <c r="Y22" s="898"/>
      <c r="Z22" s="898"/>
      <c r="AA22" s="898"/>
      <c r="AB22" s="898"/>
      <c r="AC22" s="898"/>
      <c r="AD22" s="898"/>
      <c r="AE22" s="898"/>
      <c r="AF22" s="898"/>
    </row>
    <row r="23" spans="1:32">
      <c r="B23" s="77" t="s">
        <v>1397</v>
      </c>
      <c r="C23" s="14"/>
      <c r="D23" s="14"/>
      <c r="E23" s="14"/>
      <c r="F23" s="14"/>
      <c r="G23" s="14"/>
      <c r="H23" s="14"/>
      <c r="I23" s="14"/>
      <c r="J23" s="14"/>
      <c r="K23" s="14"/>
      <c r="L23" s="14"/>
      <c r="M23" s="13"/>
      <c r="O23" s="908"/>
      <c r="P23" s="911"/>
      <c r="Q23" s="913"/>
      <c r="R23" s="913"/>
      <c r="S23" s="913"/>
      <c r="U23" s="898"/>
      <c r="V23" s="898"/>
      <c r="W23" s="898"/>
      <c r="X23" s="898"/>
      <c r="Y23" s="898"/>
      <c r="Z23" s="898"/>
      <c r="AA23" s="898"/>
      <c r="AB23" s="898"/>
      <c r="AC23" s="898"/>
      <c r="AD23" s="898"/>
      <c r="AE23" s="898"/>
      <c r="AF23" s="898"/>
    </row>
    <row r="24" spans="1:32">
      <c r="A24" s="37"/>
      <c r="B24" s="391" t="s">
        <v>1093</v>
      </c>
      <c r="C24" s="361"/>
      <c r="D24" s="361"/>
      <c r="E24" s="361"/>
      <c r="F24" s="361"/>
      <c r="G24" s="361"/>
      <c r="H24" s="361"/>
      <c r="I24" s="361"/>
      <c r="J24" s="14"/>
      <c r="K24" s="14"/>
      <c r="L24" s="14"/>
      <c r="M24" s="13"/>
      <c r="O24" s="909"/>
      <c r="P24" s="912"/>
      <c r="Q24" s="913"/>
      <c r="R24" s="913"/>
      <c r="S24" s="913"/>
      <c r="U24" s="898"/>
      <c r="V24" s="898"/>
      <c r="W24" s="898"/>
      <c r="X24" s="898"/>
      <c r="Y24" s="898"/>
      <c r="Z24" s="898"/>
      <c r="AA24" s="898"/>
      <c r="AB24" s="898"/>
      <c r="AC24" s="898"/>
      <c r="AD24" s="898"/>
      <c r="AE24" s="898"/>
      <c r="AF24" s="898"/>
    </row>
    <row r="25" spans="1:32">
      <c r="A25" s="37"/>
      <c r="B25" s="77" t="s">
        <v>155</v>
      </c>
      <c r="C25"/>
      <c r="D25"/>
      <c r="E25"/>
      <c r="F25"/>
      <c r="G25"/>
      <c r="H25"/>
      <c r="I25"/>
      <c r="J25"/>
      <c r="K25"/>
      <c r="L25"/>
      <c r="M25" s="10"/>
      <c r="O25" s="4" t="s">
        <v>368</v>
      </c>
      <c r="U25" s="898"/>
      <c r="V25" s="898"/>
      <c r="W25" s="898"/>
      <c r="X25" s="898"/>
      <c r="Y25" s="898"/>
      <c r="Z25" s="898"/>
      <c r="AA25" s="898"/>
      <c r="AB25" s="898"/>
      <c r="AC25" s="898"/>
      <c r="AD25" s="898"/>
      <c r="AE25" s="898"/>
      <c r="AF25" s="898"/>
    </row>
    <row r="26" spans="1:32" ht="24.75" customHeight="1">
      <c r="A26" s="37"/>
      <c r="B26" s="77"/>
      <c r="C26"/>
      <c r="D26"/>
      <c r="E26"/>
      <c r="F26"/>
      <c r="G26"/>
      <c r="H26"/>
      <c r="I26"/>
      <c r="J26"/>
      <c r="K26"/>
      <c r="L26"/>
      <c r="M26" s="10"/>
      <c r="O26" s="54" t="s">
        <v>1270</v>
      </c>
      <c r="S26" s="509" t="s">
        <v>1392</v>
      </c>
      <c r="U26" s="898"/>
      <c r="V26" s="898"/>
      <c r="W26" s="898"/>
      <c r="X26" s="898"/>
      <c r="Y26" s="898"/>
      <c r="Z26" s="898"/>
      <c r="AA26" s="898"/>
      <c r="AB26" s="898"/>
      <c r="AC26" s="898"/>
      <c r="AD26" s="898"/>
      <c r="AE26" s="898"/>
      <c r="AF26" s="898"/>
    </row>
    <row r="27" spans="1:32">
      <c r="A27" s="37"/>
      <c r="B27" s="77" t="s">
        <v>156</v>
      </c>
      <c r="C27"/>
      <c r="D27"/>
      <c r="E27"/>
      <c r="F27"/>
      <c r="G27" s="14" t="s">
        <v>157</v>
      </c>
      <c r="H27"/>
      <c r="I27"/>
      <c r="J27" s="14" t="s">
        <v>158</v>
      </c>
      <c r="K27" s="14"/>
      <c r="L27"/>
      <c r="M27" s="10"/>
      <c r="O27" s="606" t="s">
        <v>1255</v>
      </c>
      <c r="P27" s="608"/>
      <c r="Q27" s="51" t="s">
        <v>1252</v>
      </c>
      <c r="R27" s="51" t="s">
        <v>1253</v>
      </c>
      <c r="S27" s="51" t="s">
        <v>1254</v>
      </c>
      <c r="U27" s="898"/>
      <c r="V27" s="898"/>
      <c r="W27" s="898"/>
      <c r="X27" s="898"/>
      <c r="Y27" s="898"/>
      <c r="Z27" s="898"/>
      <c r="AA27" s="898"/>
      <c r="AB27" s="898"/>
      <c r="AC27" s="898"/>
      <c r="AD27" s="898"/>
      <c r="AE27" s="898"/>
      <c r="AF27" s="898"/>
    </row>
    <row r="28" spans="1:32">
      <c r="A28" s="37"/>
      <c r="B28" s="77" t="s">
        <v>159</v>
      </c>
      <c r="C28"/>
      <c r="D28"/>
      <c r="E28"/>
      <c r="F28"/>
      <c r="G28" s="14" t="s">
        <v>157</v>
      </c>
      <c r="H28"/>
      <c r="I28"/>
      <c r="J28" s="14" t="s">
        <v>158</v>
      </c>
      <c r="K28" s="14"/>
      <c r="L28"/>
      <c r="M28" s="10"/>
      <c r="O28" s="598" t="s">
        <v>1256</v>
      </c>
      <c r="P28" s="599"/>
      <c r="Q28" s="78" t="s">
        <v>1258</v>
      </c>
      <c r="R28" s="56" t="s">
        <v>1259</v>
      </c>
      <c r="S28" s="56" t="s">
        <v>369</v>
      </c>
      <c r="U28" s="900" t="s">
        <v>1434</v>
      </c>
      <c r="V28" s="900"/>
      <c r="W28" s="900"/>
      <c r="X28" s="900"/>
      <c r="Y28" s="900"/>
      <c r="Z28" s="900"/>
      <c r="AA28" s="900"/>
      <c r="AB28" s="900"/>
      <c r="AC28" s="506" t="s">
        <v>153</v>
      </c>
      <c r="AD28" s="507"/>
      <c r="AE28" s="507" t="s">
        <v>154</v>
      </c>
      <c r="AF28" s="507"/>
    </row>
    <row r="29" spans="1:32">
      <c r="A29" s="37"/>
      <c r="B29" s="9"/>
      <c r="C29"/>
      <c r="D29"/>
      <c r="E29"/>
      <c r="F29"/>
      <c r="G29"/>
      <c r="H29"/>
      <c r="I29"/>
      <c r="J29"/>
      <c r="K29"/>
      <c r="L29"/>
      <c r="M29" s="10"/>
      <c r="O29" s="598" t="s">
        <v>1257</v>
      </c>
      <c r="P29" s="599"/>
      <c r="Q29" s="78" t="s">
        <v>1258</v>
      </c>
      <c r="R29" s="78" t="s">
        <v>1260</v>
      </c>
      <c r="S29" s="56" t="s">
        <v>369</v>
      </c>
      <c r="U29" s="898" t="s">
        <v>1435</v>
      </c>
      <c r="V29" s="898"/>
      <c r="W29" s="898"/>
      <c r="X29" s="898"/>
      <c r="Y29" s="898"/>
      <c r="Z29" s="898"/>
      <c r="AA29" s="898"/>
      <c r="AB29" s="898"/>
      <c r="AC29" s="508" t="s">
        <v>153</v>
      </c>
      <c r="AD29" s="507"/>
      <c r="AE29" s="479" t="s">
        <v>154</v>
      </c>
      <c r="AF29" s="507"/>
    </row>
    <row r="30" spans="1:32">
      <c r="A30" s="37"/>
      <c r="B30" s="904" t="s">
        <v>1439</v>
      </c>
      <c r="C30" s="905"/>
      <c r="D30" s="905"/>
      <c r="E30" s="905"/>
      <c r="F30" s="905"/>
      <c r="G30" s="905"/>
      <c r="H30" s="905"/>
      <c r="I30" s="905"/>
      <c r="J30" s="905"/>
      <c r="K30" s="905"/>
      <c r="L30" s="905"/>
      <c r="M30" s="906"/>
      <c r="O30" s="598" t="s">
        <v>1394</v>
      </c>
      <c r="P30" s="599"/>
      <c r="Q30" s="78" t="s">
        <v>1258</v>
      </c>
      <c r="R30" s="56" t="s">
        <v>1261</v>
      </c>
      <c r="S30" s="56" t="s">
        <v>369</v>
      </c>
      <c r="U30" s="905" t="s">
        <v>1436</v>
      </c>
      <c r="V30" s="905"/>
      <c r="W30" s="905"/>
      <c r="X30" s="905"/>
      <c r="Y30" s="905"/>
      <c r="Z30" s="905"/>
      <c r="AA30" s="905"/>
      <c r="AB30" s="905"/>
      <c r="AC30" s="905"/>
      <c r="AD30" s="905"/>
      <c r="AE30" s="905"/>
      <c r="AF30" s="905"/>
    </row>
    <row r="31" spans="1:32" ht="37.5" customHeight="1">
      <c r="A31" s="37"/>
      <c r="B31" s="895" t="s">
        <v>1440</v>
      </c>
      <c r="C31" s="896"/>
      <c r="D31" s="896"/>
      <c r="E31" s="896"/>
      <c r="F31" s="896"/>
      <c r="G31" s="896"/>
      <c r="H31" s="896"/>
      <c r="I31" s="896"/>
      <c r="J31" s="896"/>
      <c r="K31" s="896"/>
      <c r="L31" s="896"/>
      <c r="M31" s="897"/>
      <c r="O31" s="499" t="s">
        <v>1271</v>
      </c>
      <c r="P31" s="412"/>
      <c r="Q31" s="412"/>
      <c r="R31" s="412"/>
      <c r="S31" s="509" t="s">
        <v>1392</v>
      </c>
      <c r="U31" s="898" t="s">
        <v>1437</v>
      </c>
      <c r="V31" s="898"/>
      <c r="W31" s="898"/>
      <c r="X31" s="898"/>
      <c r="Y31" s="898"/>
      <c r="Z31" s="898"/>
      <c r="AA31" s="898"/>
      <c r="AB31" s="898"/>
      <c r="AC31" s="898"/>
      <c r="AD31" s="898"/>
      <c r="AE31" s="898"/>
      <c r="AF31" s="898"/>
    </row>
    <row r="32" spans="1:32" ht="33.75" customHeight="1">
      <c r="A32" s="46"/>
      <c r="B32" s="899" t="s">
        <v>1398</v>
      </c>
      <c r="C32" s="900"/>
      <c r="D32" s="900"/>
      <c r="E32" s="900"/>
      <c r="F32" s="900"/>
      <c r="G32" s="900"/>
      <c r="H32" s="900"/>
      <c r="I32" s="900"/>
      <c r="J32" s="900"/>
      <c r="K32" s="900"/>
      <c r="L32" s="900"/>
      <c r="M32" s="901"/>
      <c r="O32" s="606" t="s">
        <v>3</v>
      </c>
      <c r="P32" s="608"/>
      <c r="Q32" s="606" t="s">
        <v>370</v>
      </c>
      <c r="R32" s="608"/>
      <c r="S32" s="51" t="s">
        <v>251</v>
      </c>
      <c r="U32" s="898"/>
      <c r="V32" s="898"/>
      <c r="W32" s="898"/>
      <c r="X32" s="898"/>
      <c r="Y32" s="898"/>
      <c r="Z32" s="898"/>
      <c r="AA32" s="898"/>
      <c r="AB32" s="898"/>
      <c r="AC32" s="898"/>
      <c r="AD32" s="898"/>
      <c r="AE32" s="898"/>
      <c r="AF32" s="898"/>
    </row>
    <row r="33" spans="1:32" ht="22.5" customHeight="1">
      <c r="B33" s="899"/>
      <c r="C33" s="900"/>
      <c r="D33" s="900"/>
      <c r="E33" s="900"/>
      <c r="F33" s="900"/>
      <c r="G33" s="900"/>
      <c r="H33" s="900"/>
      <c r="I33" s="900"/>
      <c r="J33" s="900"/>
      <c r="K33" s="900"/>
      <c r="L33" s="900"/>
      <c r="M33" s="901"/>
      <c r="O33" s="598" t="s">
        <v>371</v>
      </c>
      <c r="P33" s="599"/>
      <c r="Q33" s="598" t="s">
        <v>1265</v>
      </c>
      <c r="R33" s="599"/>
      <c r="S33" s="910" t="s">
        <v>372</v>
      </c>
      <c r="U33" s="898"/>
      <c r="V33" s="898"/>
      <c r="W33" s="898"/>
      <c r="X33" s="898"/>
      <c r="Y33" s="898"/>
      <c r="Z33" s="898"/>
      <c r="AA33" s="898"/>
      <c r="AB33" s="898"/>
      <c r="AC33" s="898"/>
      <c r="AD33" s="898"/>
      <c r="AE33" s="898"/>
      <c r="AF33" s="898"/>
    </row>
    <row r="34" spans="1:32">
      <c r="A34" s="46"/>
      <c r="B34" s="79"/>
      <c r="C34" s="17"/>
      <c r="D34" s="17"/>
      <c r="E34" s="17"/>
      <c r="F34" s="17"/>
      <c r="G34" s="17"/>
      <c r="H34" s="17"/>
      <c r="I34" s="17"/>
      <c r="J34" s="17"/>
      <c r="K34" s="17"/>
      <c r="L34" s="17"/>
      <c r="M34" s="80"/>
      <c r="O34" s="598" t="s">
        <v>373</v>
      </c>
      <c r="P34" s="599"/>
      <c r="Q34" s="598" t="s">
        <v>1266</v>
      </c>
      <c r="R34" s="599"/>
      <c r="S34" s="911"/>
      <c r="U34" s="898"/>
      <c r="V34" s="898"/>
      <c r="W34" s="898"/>
      <c r="X34" s="898"/>
      <c r="Y34" s="898"/>
      <c r="Z34" s="898"/>
      <c r="AA34" s="898"/>
      <c r="AB34" s="898"/>
      <c r="AC34" s="898"/>
      <c r="AD34" s="898"/>
      <c r="AE34" s="898"/>
      <c r="AF34" s="898"/>
    </row>
    <row r="35" spans="1:32">
      <c r="B35" s="81" t="s">
        <v>160</v>
      </c>
      <c r="C35" s="23"/>
      <c r="D35" s="23"/>
      <c r="E35" s="23"/>
      <c r="F35" s="23"/>
      <c r="G35" s="82" t="s">
        <v>157</v>
      </c>
      <c r="H35" s="23"/>
      <c r="I35" s="23"/>
      <c r="J35" s="82" t="s">
        <v>158</v>
      </c>
      <c r="K35" s="82"/>
      <c r="L35" s="23"/>
      <c r="M35" s="22"/>
      <c r="O35" s="598" t="s">
        <v>1264</v>
      </c>
      <c r="P35" s="599"/>
      <c r="Q35" s="598" t="s">
        <v>1267</v>
      </c>
      <c r="R35" s="599"/>
      <c r="S35" s="911"/>
      <c r="U35" s="898"/>
      <c r="V35" s="898"/>
      <c r="W35" s="898"/>
      <c r="X35" s="898"/>
      <c r="Y35" s="898"/>
      <c r="Z35" s="898"/>
      <c r="AA35" s="898"/>
      <c r="AB35" s="898"/>
      <c r="AC35" s="898"/>
      <c r="AD35" s="898"/>
      <c r="AE35" s="898"/>
      <c r="AF35" s="898"/>
    </row>
    <row r="36" spans="1:32">
      <c r="B36" s="14"/>
      <c r="C36"/>
      <c r="D36"/>
      <c r="E36"/>
      <c r="F36"/>
      <c r="G36" s="14"/>
      <c r="H36"/>
      <c r="I36"/>
      <c r="J36" s="14"/>
      <c r="K36" s="14"/>
      <c r="L36"/>
      <c r="M36"/>
      <c r="O36" s="902" t="s">
        <v>1262</v>
      </c>
      <c r="P36" s="903"/>
      <c r="Q36" s="902" t="s">
        <v>1269</v>
      </c>
      <c r="R36" s="903"/>
      <c r="S36" s="911"/>
      <c r="U36" s="892" t="s">
        <v>374</v>
      </c>
      <c r="V36" s="892"/>
      <c r="W36" s="892"/>
      <c r="X36" s="892"/>
      <c r="Y36" s="892"/>
      <c r="Z36" s="892"/>
      <c r="AA36" s="892"/>
      <c r="AB36" s="83"/>
      <c r="AC36" s="12" t="s">
        <v>153</v>
      </c>
      <c r="AD36" s="16"/>
      <c r="AE36" s="16" t="s">
        <v>154</v>
      </c>
      <c r="AF36" s="83"/>
    </row>
    <row r="37" spans="1:32" ht="17.25" customHeight="1">
      <c r="B37" s="893" t="s">
        <v>375</v>
      </c>
      <c r="C37" s="893"/>
      <c r="D37" s="893"/>
      <c r="E37" s="893"/>
      <c r="F37" s="893"/>
      <c r="G37" s="893"/>
      <c r="H37" s="893"/>
      <c r="I37" s="893"/>
      <c r="J37" s="893"/>
      <c r="K37" s="893"/>
      <c r="L37" s="893"/>
      <c r="M37" s="893"/>
      <c r="O37" s="597" t="s">
        <v>1263</v>
      </c>
      <c r="P37" s="597"/>
      <c r="Q37" s="597" t="s">
        <v>1268</v>
      </c>
      <c r="R37" s="597"/>
      <c r="S37" s="912"/>
      <c r="U37" s="83"/>
      <c r="V37" s="83"/>
      <c r="W37" s="83"/>
      <c r="X37" s="83"/>
      <c r="Y37" s="83"/>
      <c r="Z37" s="83"/>
      <c r="AA37" s="83"/>
      <c r="AB37" s="83"/>
      <c r="AC37" s="83"/>
      <c r="AD37" s="83"/>
      <c r="AE37" s="83"/>
      <c r="AF37" s="83"/>
    </row>
    <row r="38" spans="1:32">
      <c r="A38" s="46"/>
      <c r="B38" s="596">
        <f ca="1">TODAY()</f>
        <v>46132</v>
      </c>
      <c r="C38" s="596"/>
      <c r="D38" s="596"/>
      <c r="E38" s="596"/>
      <c r="F38" s="596"/>
      <c r="G38" s="596"/>
      <c r="H38" s="596"/>
      <c r="I38" s="596"/>
      <c r="J38" s="596"/>
      <c r="K38" s="596"/>
      <c r="L38" s="596"/>
      <c r="M38" s="596"/>
      <c r="O38" s="593"/>
      <c r="P38" s="593"/>
      <c r="Q38" s="593"/>
      <c r="R38" s="593"/>
      <c r="U38" s="891">
        <f ca="1">TODAY()</f>
        <v>46132</v>
      </c>
      <c r="V38" s="891"/>
      <c r="W38" s="891"/>
      <c r="X38" s="891"/>
      <c r="Y38" s="891"/>
      <c r="Z38" s="891"/>
      <c r="AA38" s="891"/>
      <c r="AB38" s="891"/>
      <c r="AC38" s="891"/>
      <c r="AD38" s="891"/>
      <c r="AE38" s="891"/>
      <c r="AF38" s="891"/>
    </row>
    <row r="39" spans="1:32" s="24" customFormat="1">
      <c r="A39" s="35"/>
      <c r="B39" s="85"/>
      <c r="C39" s="85"/>
      <c r="D39" s="85"/>
      <c r="E39" s="85"/>
      <c r="F39" s="85"/>
      <c r="G39" s="85"/>
      <c r="H39" s="85"/>
      <c r="I39" s="85"/>
      <c r="J39" s="85"/>
      <c r="K39" s="85"/>
      <c r="L39" s="85"/>
      <c r="M39" s="85"/>
      <c r="N39" s="84"/>
      <c r="O39" s="593"/>
      <c r="P39" s="593"/>
      <c r="Q39" s="593"/>
      <c r="R39" s="593"/>
      <c r="S39" s="4"/>
      <c r="U39" s="85"/>
      <c r="V39" s="85"/>
      <c r="W39" s="85"/>
      <c r="X39" s="85"/>
      <c r="Y39" s="85"/>
      <c r="Z39" s="85"/>
      <c r="AA39" s="85"/>
      <c r="AB39" s="85"/>
      <c r="AC39" s="85"/>
      <c r="AD39" s="85"/>
      <c r="AE39" s="85"/>
      <c r="AF39" s="85"/>
    </row>
    <row r="40" spans="1:32">
      <c r="H40" s="49" t="s">
        <v>272</v>
      </c>
      <c r="J40" s="894" t="s">
        <v>879</v>
      </c>
      <c r="K40" s="894"/>
      <c r="L40" s="894"/>
      <c r="M40" s="57"/>
      <c r="N40" s="85"/>
      <c r="AA40" s="49" t="s">
        <v>376</v>
      </c>
      <c r="AC40" s="894" t="s">
        <v>878</v>
      </c>
      <c r="AD40" s="894"/>
      <c r="AE40" s="894"/>
      <c r="AF40" s="57"/>
    </row>
    <row r="41" spans="1:32">
      <c r="J41" s="49"/>
      <c r="K41" s="49"/>
      <c r="L41" s="49"/>
      <c r="M41" s="57"/>
      <c r="AC41" s="49"/>
      <c r="AD41" s="49"/>
      <c r="AE41" s="49"/>
      <c r="AF41" s="57"/>
    </row>
    <row r="42" spans="1:32" ht="16.5" customHeight="1">
      <c r="B42" s="590" t="s">
        <v>1420</v>
      </c>
      <c r="C42" s="590"/>
      <c r="D42" s="590"/>
      <c r="E42" s="590"/>
      <c r="F42" s="590"/>
      <c r="G42" s="590"/>
      <c r="H42" s="590"/>
      <c r="I42" s="590"/>
      <c r="J42" s="590"/>
      <c r="K42" s="590"/>
      <c r="L42" s="590"/>
      <c r="M42" s="590"/>
      <c r="U42" s="590" t="s">
        <v>377</v>
      </c>
      <c r="V42" s="590"/>
      <c r="W42" s="590"/>
      <c r="X42" s="590"/>
      <c r="Y42" s="590"/>
      <c r="Z42" s="590"/>
      <c r="AA42" s="590"/>
      <c r="AB42" s="590"/>
      <c r="AC42" s="590"/>
      <c r="AD42" s="590"/>
      <c r="AE42" s="590"/>
      <c r="AF42" s="590"/>
    </row>
    <row r="43" spans="1:32">
      <c r="C43" s="5"/>
      <c r="D43" s="5"/>
      <c r="E43" s="5"/>
      <c r="F43" s="5"/>
      <c r="G43" s="5"/>
      <c r="H43" s="5"/>
      <c r="I43" s="5"/>
      <c r="J43" s="5"/>
      <c r="K43" s="5"/>
      <c r="L43" s="5"/>
      <c r="M43" s="5"/>
      <c r="N43" s="49"/>
    </row>
    <row r="44" spans="1:32" ht="16.5" customHeight="1">
      <c r="B44" s="86"/>
      <c r="N44" s="5"/>
      <c r="O44" s="57"/>
    </row>
    <row r="45" spans="1:32">
      <c r="O45" s="5"/>
    </row>
  </sheetData>
  <mergeCells count="133">
    <mergeCell ref="O27:P27"/>
    <mergeCell ref="O28:P28"/>
    <mergeCell ref="O29:P29"/>
    <mergeCell ref="O30:P30"/>
    <mergeCell ref="S33:S37"/>
    <mergeCell ref="C6:E6"/>
    <mergeCell ref="F6:G6"/>
    <mergeCell ref="H6:M6"/>
    <mergeCell ref="V6:X6"/>
    <mergeCell ref="V8:X8"/>
    <mergeCell ref="C11:M11"/>
    <mergeCell ref="V11:AF11"/>
    <mergeCell ref="C12:M12"/>
    <mergeCell ref="V12:AF12"/>
    <mergeCell ref="Q11:Q12"/>
    <mergeCell ref="R11:R12"/>
    <mergeCell ref="S11:S12"/>
    <mergeCell ref="O11:O12"/>
    <mergeCell ref="P11:P12"/>
    <mergeCell ref="S9:S10"/>
    <mergeCell ref="V13:Z13"/>
    <mergeCell ref="C15:D15"/>
    <mergeCell ref="H15:I15"/>
    <mergeCell ref="J15:L15"/>
    <mergeCell ref="Y6:Z6"/>
    <mergeCell ref="AA6:AF6"/>
    <mergeCell ref="B3:M3"/>
    <mergeCell ref="U3:AF3"/>
    <mergeCell ref="C5:E5"/>
    <mergeCell ref="F5:G5"/>
    <mergeCell ref="H5:M5"/>
    <mergeCell ref="O5:S5"/>
    <mergeCell ref="V5:X5"/>
    <mergeCell ref="Y5:Z5"/>
    <mergeCell ref="AA5:AF5"/>
    <mergeCell ref="Y8:Z8"/>
    <mergeCell ref="AA8:AF8"/>
    <mergeCell ref="D9:E9"/>
    <mergeCell ref="F9:G9"/>
    <mergeCell ref="W9:X9"/>
    <mergeCell ref="Y9:Z9"/>
    <mergeCell ref="C8:E8"/>
    <mergeCell ref="F8:G8"/>
    <mergeCell ref="H8:I8"/>
    <mergeCell ref="J8:K8"/>
    <mergeCell ref="L8:M8"/>
    <mergeCell ref="O9:O10"/>
    <mergeCell ref="P9:P10"/>
    <mergeCell ref="Q9:Q10"/>
    <mergeCell ref="R9:R10"/>
    <mergeCell ref="O7:O8"/>
    <mergeCell ref="AD10:AE10"/>
    <mergeCell ref="V10:W10"/>
    <mergeCell ref="Y10:Z10"/>
    <mergeCell ref="AA10:AC10"/>
    <mergeCell ref="C10:D10"/>
    <mergeCell ref="F10:G10"/>
    <mergeCell ref="H10:J10"/>
    <mergeCell ref="K10:L10"/>
    <mergeCell ref="AA14:AB14"/>
    <mergeCell ref="AC14:AE14"/>
    <mergeCell ref="AA15:AB15"/>
    <mergeCell ref="AC15:AE15"/>
    <mergeCell ref="V15:W15"/>
    <mergeCell ref="C16:D18"/>
    <mergeCell ref="E16:F17"/>
    <mergeCell ref="G16:L16"/>
    <mergeCell ref="M16:M17"/>
    <mergeCell ref="Q17:S17"/>
    <mergeCell ref="V16:W18"/>
    <mergeCell ref="X16:Y17"/>
    <mergeCell ref="Z16:AE16"/>
    <mergeCell ref="E18:F18"/>
    <mergeCell ref="H18:I18"/>
    <mergeCell ref="J18:K18"/>
    <mergeCell ref="X18:Y18"/>
    <mergeCell ref="AA18:AB18"/>
    <mergeCell ref="AC18:AD18"/>
    <mergeCell ref="AF16:AF17"/>
    <mergeCell ref="H17:I17"/>
    <mergeCell ref="J17:K17"/>
    <mergeCell ref="O18:O24"/>
    <mergeCell ref="P18:P24"/>
    <mergeCell ref="Q18:S24"/>
    <mergeCell ref="AA17:AB17"/>
    <mergeCell ref="AC17:AD17"/>
    <mergeCell ref="B19:M19"/>
    <mergeCell ref="U19:AF19"/>
    <mergeCell ref="B20:M20"/>
    <mergeCell ref="U20:AF20"/>
    <mergeCell ref="U21:AF27"/>
    <mergeCell ref="B13:B18"/>
    <mergeCell ref="C13:G13"/>
    <mergeCell ref="H13:M13"/>
    <mergeCell ref="U13:U18"/>
    <mergeCell ref="O13:S14"/>
    <mergeCell ref="AA13:AF13"/>
    <mergeCell ref="C14:D14"/>
    <mergeCell ref="H14:I14"/>
    <mergeCell ref="J14:L14"/>
    <mergeCell ref="O15:S15"/>
    <mergeCell ref="V14:W14"/>
    <mergeCell ref="B31:M31"/>
    <mergeCell ref="U31:AF35"/>
    <mergeCell ref="B32:M33"/>
    <mergeCell ref="O35:P35"/>
    <mergeCell ref="Q35:R35"/>
    <mergeCell ref="O36:P36"/>
    <mergeCell ref="Q36:R36"/>
    <mergeCell ref="U28:AB28"/>
    <mergeCell ref="U29:AB29"/>
    <mergeCell ref="O32:P32"/>
    <mergeCell ref="O33:P33"/>
    <mergeCell ref="O34:P34"/>
    <mergeCell ref="Q32:R32"/>
    <mergeCell ref="Q33:R33"/>
    <mergeCell ref="Q34:R34"/>
    <mergeCell ref="B30:M30"/>
    <mergeCell ref="U30:AF30"/>
    <mergeCell ref="U38:AF38"/>
    <mergeCell ref="B42:M42"/>
    <mergeCell ref="U42:AF42"/>
    <mergeCell ref="O37:P37"/>
    <mergeCell ref="Q37:R37"/>
    <mergeCell ref="U36:AA36"/>
    <mergeCell ref="B37:M37"/>
    <mergeCell ref="O38:P38"/>
    <mergeCell ref="Q38:R38"/>
    <mergeCell ref="B38:M38"/>
    <mergeCell ref="O39:P39"/>
    <mergeCell ref="Q39:R39"/>
    <mergeCell ref="AC40:AE40"/>
    <mergeCell ref="J40:L40"/>
  </mergeCells>
  <phoneticPr fontId="4" type="noConversion"/>
  <dataValidations count="11">
    <dataValidation allowBlank="1" showInputMessage="1" showErrorMessage="1" prompt="시:분_x000a_(24시간제)" sqref="H9 J9 AA9 AC9" xr:uid="{00000000-0002-0000-0400-000000000000}"/>
    <dataValidation type="list" allowBlank="1" showInputMessage="1" showErrorMessage="1" sqref="AA10:AC10" xr:uid="{00000000-0002-0000-0400-000001000000}">
      <formula1>"Superior(Senior),Junior(Assistant)"</formula1>
    </dataValidation>
    <dataValidation type="list" allowBlank="1" showInputMessage="1" showErrorMessage="1" sqref="X10" xr:uid="{00000000-0002-0000-0400-000002000000}">
      <formula1>"hour(s),time(s),sheet(s),words"</formula1>
    </dataValidation>
    <dataValidation type="list" allowBlank="1" showInputMessage="1" showErrorMessage="1" sqref="AA8:AF8" xr:uid="{00000000-0002-0000-0400-000003000000}">
      <formula1>"contact,untact"</formula1>
    </dataValidation>
    <dataValidation type="list" allowBlank="1" showInputMessage="1" showErrorMessage="1" sqref="V8:X8" xr:uid="{00000000-0002-0000-0400-000004000000}">
      <formula1>"Meeting,Manuscript,Lecture,Consultation,Translation,Interpretation,Shorthand,Part-time employment,Reward,Survey"</formula1>
    </dataValidation>
    <dataValidation allowBlank="1" showInputMessage="1" showErrorMessage="1" prompt="yymmdd_x000a_(년-월-일)" sqref="D9:E9 W9:X9" xr:uid="{00000000-0002-0000-0400-000005000000}"/>
    <dataValidation type="list" allowBlank="1" showInputMessage="1" showErrorMessage="1" sqref="L8:M8" xr:uid="{00000000-0002-0000-0400-000006000000}">
      <formula1>"내국인, 외국인"</formula1>
    </dataValidation>
    <dataValidation type="list" allowBlank="1" showInputMessage="1" showErrorMessage="1" sqref="H10:J10" xr:uid="{00000000-0002-0000-0400-000007000000}">
      <formula1>"연구책임자급, 연구자급"</formula1>
    </dataValidation>
    <dataValidation type="list" allowBlank="1" showInputMessage="1" showErrorMessage="1" sqref="H8:I8" xr:uid="{00000000-0002-0000-0400-000008000000}">
      <formula1>"대면, 비대면"</formula1>
    </dataValidation>
    <dataValidation type="list" allowBlank="1" showInputMessage="1" showErrorMessage="1" sqref="E10" xr:uid="{00000000-0002-0000-0400-000009000000}">
      <formula1>"시간,회,장,words"</formula1>
    </dataValidation>
    <dataValidation type="list" allowBlank="1" showInputMessage="1" showErrorMessage="1" sqref="C8:E8" xr:uid="{00000000-0002-0000-0400-00000A000000}">
      <formula1>"회의수당, 원고료,강사료,자문료,번역료,통역료,속기료,일용직활용비,피험자사례비,조사수당"</formula1>
    </dataValidation>
  </dataValidations>
  <pageMargins left="0.23622047244094502" right="0.23622047244094502" top="0.74803149606299202" bottom="0.74803149606299202" header="0.31496062992126" footer="0.31496062992126"/>
  <pageSetup paperSize="9" scale="78"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anchor moveWithCells="1">
                  <from>
                    <xdr:col>6</xdr:col>
                    <xdr:colOff>450850</xdr:colOff>
                    <xdr:row>25</xdr:row>
                    <xdr:rowOff>266700</xdr:rowOff>
                  </from>
                  <to>
                    <xdr:col>6</xdr:col>
                    <xdr:colOff>647700</xdr:colOff>
                    <xdr:row>27</xdr:row>
                    <xdr:rowOff>0</xdr:rowOff>
                  </to>
                </anchor>
              </controlPr>
            </control>
          </mc:Choice>
        </mc:AlternateContent>
        <mc:AlternateContent xmlns:mc="http://schemas.openxmlformats.org/markup-compatibility/2006">
          <mc:Choice Requires="x14">
            <control shapeId="10243" r:id="rId5" name="Check Box 3">
              <controlPr defaultSize="0" autoFill="0" autoLine="0" autoPict="0">
                <anchor moveWithCells="1">
                  <from>
                    <xdr:col>6</xdr:col>
                    <xdr:colOff>457200</xdr:colOff>
                    <xdr:row>26</xdr:row>
                    <xdr:rowOff>190500</xdr:rowOff>
                  </from>
                  <to>
                    <xdr:col>6</xdr:col>
                    <xdr:colOff>660400</xdr:colOff>
                    <xdr:row>28</xdr:row>
                    <xdr:rowOff>31750</xdr:rowOff>
                  </to>
                </anchor>
              </controlPr>
            </control>
          </mc:Choice>
        </mc:AlternateContent>
        <mc:AlternateContent xmlns:mc="http://schemas.openxmlformats.org/markup-compatibility/2006">
          <mc:Choice Requires="x14">
            <control shapeId="10249" r:id="rId6" name="Check Box 9">
              <controlPr defaultSize="0" autoFill="0" autoLine="0" autoPict="0">
                <anchor moveWithCells="1">
                  <from>
                    <xdr:col>6</xdr:col>
                    <xdr:colOff>457200</xdr:colOff>
                    <xdr:row>26</xdr:row>
                    <xdr:rowOff>190500</xdr:rowOff>
                  </from>
                  <to>
                    <xdr:col>6</xdr:col>
                    <xdr:colOff>660400</xdr:colOff>
                    <xdr:row>28</xdr:row>
                    <xdr:rowOff>31750</xdr:rowOff>
                  </to>
                </anchor>
              </controlPr>
            </control>
          </mc:Choice>
        </mc:AlternateContent>
        <mc:AlternateContent xmlns:mc="http://schemas.openxmlformats.org/markup-compatibility/2006">
          <mc:Choice Requires="x14">
            <control shapeId="10250" r:id="rId7" name="Check Box 10">
              <controlPr defaultSize="0" autoFill="0" autoLine="0" autoPict="0">
                <anchor moveWithCells="1">
                  <from>
                    <xdr:col>10</xdr:col>
                    <xdr:colOff>31750</xdr:colOff>
                    <xdr:row>25</xdr:row>
                    <xdr:rowOff>260350</xdr:rowOff>
                  </from>
                  <to>
                    <xdr:col>11</xdr:col>
                    <xdr:colOff>50800</xdr:colOff>
                    <xdr:row>26</xdr:row>
                    <xdr:rowOff>203200</xdr:rowOff>
                  </to>
                </anchor>
              </controlPr>
            </control>
          </mc:Choice>
        </mc:AlternateContent>
        <mc:AlternateContent xmlns:mc="http://schemas.openxmlformats.org/markup-compatibility/2006">
          <mc:Choice Requires="x14">
            <control shapeId="10251" r:id="rId8" name="Check Box 11">
              <controlPr defaultSize="0" autoFill="0" autoLine="0" autoPict="0">
                <anchor moveWithCells="1">
                  <from>
                    <xdr:col>10</xdr:col>
                    <xdr:colOff>38100</xdr:colOff>
                    <xdr:row>26</xdr:row>
                    <xdr:rowOff>190500</xdr:rowOff>
                  </from>
                  <to>
                    <xdr:col>11</xdr:col>
                    <xdr:colOff>57150</xdr:colOff>
                    <xdr:row>28</xdr:row>
                    <xdr:rowOff>31750</xdr:rowOff>
                  </to>
                </anchor>
              </controlPr>
            </control>
          </mc:Choice>
        </mc:AlternateContent>
        <mc:AlternateContent xmlns:mc="http://schemas.openxmlformats.org/markup-compatibility/2006">
          <mc:Choice Requires="x14">
            <control shapeId="10253" r:id="rId9" name="Check Box 13">
              <controlPr defaultSize="0" autoFill="0" autoLine="0" autoPict="0">
                <anchor moveWithCells="1">
                  <from>
                    <xdr:col>30</xdr:col>
                    <xdr:colOff>565150</xdr:colOff>
                    <xdr:row>27</xdr:row>
                    <xdr:rowOff>171450</xdr:rowOff>
                  </from>
                  <to>
                    <xdr:col>30</xdr:col>
                    <xdr:colOff>762000</xdr:colOff>
                    <xdr:row>29</xdr:row>
                    <xdr:rowOff>0</xdr:rowOff>
                  </to>
                </anchor>
              </controlPr>
            </control>
          </mc:Choice>
        </mc:AlternateContent>
        <mc:AlternateContent xmlns:mc="http://schemas.openxmlformats.org/markup-compatibility/2006">
          <mc:Choice Requires="x14">
            <control shapeId="10254" r:id="rId10" name="Check Box 14">
              <controlPr defaultSize="0" autoFill="0" autoLine="0" autoPict="0">
                <anchor moveWithCells="1">
                  <from>
                    <xdr:col>30</xdr:col>
                    <xdr:colOff>565150</xdr:colOff>
                    <xdr:row>26</xdr:row>
                    <xdr:rowOff>171450</xdr:rowOff>
                  </from>
                  <to>
                    <xdr:col>30</xdr:col>
                    <xdr:colOff>762000</xdr:colOff>
                    <xdr:row>28</xdr:row>
                    <xdr:rowOff>0</xdr:rowOff>
                  </to>
                </anchor>
              </controlPr>
            </control>
          </mc:Choice>
        </mc:AlternateContent>
        <mc:AlternateContent xmlns:mc="http://schemas.openxmlformats.org/markup-compatibility/2006">
          <mc:Choice Requires="x14">
            <control shapeId="10255" r:id="rId11" name="Check Box 15">
              <controlPr defaultSize="0" autoFill="0" autoLine="0" autoPict="0">
                <anchor moveWithCells="1">
                  <from>
                    <xdr:col>29</xdr:col>
                    <xdr:colOff>0</xdr:colOff>
                    <xdr:row>26</xdr:row>
                    <xdr:rowOff>190500</xdr:rowOff>
                  </from>
                  <to>
                    <xdr:col>30</xdr:col>
                    <xdr:colOff>19050</xdr:colOff>
                    <xdr:row>28</xdr:row>
                    <xdr:rowOff>31750</xdr:rowOff>
                  </to>
                </anchor>
              </controlPr>
            </control>
          </mc:Choice>
        </mc:AlternateContent>
        <mc:AlternateContent xmlns:mc="http://schemas.openxmlformats.org/markup-compatibility/2006">
          <mc:Choice Requires="x14">
            <control shapeId="10256" r:id="rId12" name="Check Box 16">
              <controlPr defaultSize="0" autoFill="0" autoLine="0" autoPict="0">
                <anchor moveWithCells="1">
                  <from>
                    <xdr:col>29</xdr:col>
                    <xdr:colOff>0</xdr:colOff>
                    <xdr:row>27</xdr:row>
                    <xdr:rowOff>184150</xdr:rowOff>
                  </from>
                  <to>
                    <xdr:col>30</xdr:col>
                    <xdr:colOff>19050</xdr:colOff>
                    <xdr:row>29</xdr:row>
                    <xdr:rowOff>19050</xdr:rowOff>
                  </to>
                </anchor>
              </controlPr>
            </control>
          </mc:Choice>
        </mc:AlternateContent>
        <mc:AlternateContent xmlns:mc="http://schemas.openxmlformats.org/markup-compatibility/2006">
          <mc:Choice Requires="x14">
            <control shapeId="10257" r:id="rId13" name="Check Box 17">
              <controlPr defaultSize="0" autoFill="0" autoLine="0" autoPict="0">
                <anchor moveWithCells="1">
                  <from>
                    <xdr:col>30</xdr:col>
                    <xdr:colOff>565150</xdr:colOff>
                    <xdr:row>34</xdr:row>
                    <xdr:rowOff>171450</xdr:rowOff>
                  </from>
                  <to>
                    <xdr:col>30</xdr:col>
                    <xdr:colOff>762000</xdr:colOff>
                    <xdr:row>36</xdr:row>
                    <xdr:rowOff>19050</xdr:rowOff>
                  </to>
                </anchor>
              </controlPr>
            </control>
          </mc:Choice>
        </mc:AlternateContent>
        <mc:AlternateContent xmlns:mc="http://schemas.openxmlformats.org/markup-compatibility/2006">
          <mc:Choice Requires="x14">
            <control shapeId="10258" r:id="rId14" name="Check Box 18">
              <controlPr defaultSize="0" autoFill="0" autoLine="0" autoPict="0">
                <anchor moveWithCells="1">
                  <from>
                    <xdr:col>29</xdr:col>
                    <xdr:colOff>0</xdr:colOff>
                    <xdr:row>34</xdr:row>
                    <xdr:rowOff>190500</xdr:rowOff>
                  </from>
                  <to>
                    <xdr:col>30</xdr:col>
                    <xdr:colOff>19050</xdr:colOff>
                    <xdr:row>36</xdr:row>
                    <xdr:rowOff>38100</xdr:rowOff>
                  </to>
                </anchor>
              </controlPr>
            </control>
          </mc:Choice>
        </mc:AlternateContent>
        <mc:AlternateContent xmlns:mc="http://schemas.openxmlformats.org/markup-compatibility/2006">
          <mc:Choice Requires="x14">
            <control shapeId="10259" r:id="rId15" name="Button 19">
              <controlPr defaultSize="0" print="0" autoFill="0" autoPict="0" macro="[0]!전문가활용비2">
                <anchor moveWithCells="1" sizeWithCells="1">
                  <from>
                    <xdr:col>3</xdr:col>
                    <xdr:colOff>546100</xdr:colOff>
                    <xdr:row>43</xdr:row>
                    <xdr:rowOff>152400</xdr:rowOff>
                  </from>
                  <to>
                    <xdr:col>7</xdr:col>
                    <xdr:colOff>88900</xdr:colOff>
                    <xdr:row>45</xdr:row>
                    <xdr:rowOff>95250</xdr:rowOff>
                  </to>
                </anchor>
              </controlPr>
            </control>
          </mc:Choice>
        </mc:AlternateContent>
        <mc:AlternateContent xmlns:mc="http://schemas.openxmlformats.org/markup-compatibility/2006">
          <mc:Choice Requires="x14">
            <control shapeId="10260" r:id="rId16" name="Button 20">
              <controlPr defaultSize="0" print="0" autoFill="0" autoPict="0" macro="[0]!전문가활용비사용내역서_영문">
                <anchor moveWithCells="1" sizeWithCells="1">
                  <from>
                    <xdr:col>24</xdr:col>
                    <xdr:colOff>12700</xdr:colOff>
                    <xdr:row>43</xdr:row>
                    <xdr:rowOff>114300</xdr:rowOff>
                  </from>
                  <to>
                    <xdr:col>26</xdr:col>
                    <xdr:colOff>704850</xdr:colOff>
                    <xdr:row>45</xdr:row>
                    <xdr:rowOff>57150</xdr:rowOff>
                  </to>
                </anchor>
              </controlPr>
            </control>
          </mc:Choice>
        </mc:AlternateContent>
        <mc:AlternateContent xmlns:mc="http://schemas.openxmlformats.org/markup-compatibility/2006">
          <mc:Choice Requires="x14">
            <control shapeId="10262" r:id="rId17" name="Check Box 22">
              <controlPr defaultSize="0" autoFill="0" autoLine="0" autoPict="0">
                <anchor moveWithCells="1">
                  <from>
                    <xdr:col>6</xdr:col>
                    <xdr:colOff>431800</xdr:colOff>
                    <xdr:row>33</xdr:row>
                    <xdr:rowOff>184150</xdr:rowOff>
                  </from>
                  <to>
                    <xdr:col>6</xdr:col>
                    <xdr:colOff>628650</xdr:colOff>
                    <xdr:row>35</xdr:row>
                    <xdr:rowOff>19050</xdr:rowOff>
                  </to>
                </anchor>
              </controlPr>
            </control>
          </mc:Choice>
        </mc:AlternateContent>
        <mc:AlternateContent xmlns:mc="http://schemas.openxmlformats.org/markup-compatibility/2006">
          <mc:Choice Requires="x14">
            <control shapeId="10263" r:id="rId18" name="Check Box 23">
              <controlPr defaultSize="0" autoFill="0" autoLine="0" autoPict="0">
                <anchor moveWithCells="1">
                  <from>
                    <xdr:col>10</xdr:col>
                    <xdr:colOff>12700</xdr:colOff>
                    <xdr:row>33</xdr:row>
                    <xdr:rowOff>171450</xdr:rowOff>
                  </from>
                  <to>
                    <xdr:col>11</xdr:col>
                    <xdr:colOff>31750</xdr:colOff>
                    <xdr:row>35</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theme="4" tint="-0.499984740745262"/>
    <pageSetUpPr fitToPage="1"/>
  </sheetPr>
  <dimension ref="A1:L38"/>
  <sheetViews>
    <sheetView showGridLines="0" zoomScale="70" zoomScaleNormal="70" workbookViewId="0">
      <selection activeCell="M11" sqref="M11"/>
    </sheetView>
  </sheetViews>
  <sheetFormatPr defaultColWidth="9" defaultRowHeight="17"/>
  <cols>
    <col min="1" max="1" width="1.25" style="35" customWidth="1"/>
    <col min="2" max="9" width="9" style="4"/>
    <col min="10" max="10" width="2.08203125" style="4" customWidth="1"/>
    <col min="11" max="11" width="13.08203125" style="4" customWidth="1"/>
    <col min="12" max="12" width="3.6640625" style="4" customWidth="1"/>
    <col min="13" max="16384" width="9" style="4"/>
  </cols>
  <sheetData>
    <row r="1" spans="1:12">
      <c r="A1" s="4"/>
    </row>
    <row r="2" spans="1:12">
      <c r="A2" s="4"/>
    </row>
    <row r="3" spans="1:12">
      <c r="B3" s="24"/>
      <c r="C3" s="24"/>
      <c r="D3" s="24"/>
      <c r="E3" s="24"/>
      <c r="F3" s="24"/>
      <c r="G3" s="24"/>
      <c r="H3" s="24"/>
      <c r="I3" s="24"/>
      <c r="J3" s="24"/>
      <c r="K3" s="24"/>
      <c r="L3" s="24"/>
    </row>
    <row r="4" spans="1:12" ht="33.5">
      <c r="B4" s="618" t="s">
        <v>378</v>
      </c>
      <c r="C4" s="618"/>
      <c r="D4" s="618"/>
      <c r="E4" s="618"/>
      <c r="F4" s="618"/>
      <c r="G4" s="618"/>
      <c r="H4" s="618"/>
      <c r="I4" s="618"/>
      <c r="J4" s="618"/>
      <c r="K4" s="618"/>
      <c r="L4" s="618"/>
    </row>
    <row r="5" spans="1:12">
      <c r="B5" s="55"/>
      <c r="C5" s="55"/>
      <c r="D5" s="55"/>
      <c r="E5" s="55"/>
      <c r="F5" s="55"/>
      <c r="G5" s="55"/>
      <c r="H5" s="55"/>
      <c r="I5" s="55"/>
      <c r="J5" s="55"/>
      <c r="K5" s="55"/>
      <c r="L5" s="55"/>
    </row>
    <row r="6" spans="1:12" ht="26.5" customHeight="1">
      <c r="A6" s="37"/>
      <c r="B6" s="946" t="s">
        <v>1231</v>
      </c>
      <c r="C6" s="946"/>
      <c r="D6" s="947"/>
      <c r="E6" s="947"/>
      <c r="F6" s="947"/>
      <c r="G6" s="946" t="s">
        <v>204</v>
      </c>
      <c r="H6" s="946"/>
      <c r="I6" s="947"/>
      <c r="J6" s="947"/>
      <c r="K6" s="947"/>
      <c r="L6" s="947"/>
    </row>
    <row r="7" spans="1:12" ht="26.5" customHeight="1">
      <c r="A7" s="37"/>
      <c r="B7" s="946" t="s">
        <v>207</v>
      </c>
      <c r="C7" s="946"/>
      <c r="D7" s="948"/>
      <c r="E7" s="955"/>
      <c r="F7" s="956"/>
      <c r="G7" s="949" t="s">
        <v>76</v>
      </c>
      <c r="H7" s="957"/>
      <c r="I7" s="948"/>
      <c r="J7" s="955"/>
      <c r="K7" s="955"/>
      <c r="L7" s="956"/>
    </row>
    <row r="8" spans="1:12">
      <c r="A8" s="37"/>
      <c r="B8" s="49"/>
      <c r="C8" s="49"/>
      <c r="D8" s="49"/>
      <c r="E8" s="49"/>
      <c r="F8" s="49"/>
      <c r="G8" s="49"/>
      <c r="H8" s="49"/>
      <c r="I8" s="49"/>
      <c r="J8" s="49"/>
      <c r="K8" s="49"/>
      <c r="L8" s="49"/>
    </row>
    <row r="9" spans="1:12" ht="26.25" customHeight="1">
      <c r="A9" s="37"/>
      <c r="B9" s="946" t="s">
        <v>379</v>
      </c>
      <c r="C9" s="946"/>
      <c r="D9" s="947"/>
      <c r="E9" s="947"/>
      <c r="F9" s="947"/>
      <c r="G9" s="947"/>
      <c r="H9" s="947"/>
      <c r="I9" s="947"/>
      <c r="J9" s="947"/>
      <c r="K9" s="947"/>
      <c r="L9" s="947"/>
    </row>
    <row r="10" spans="1:12" ht="26.5" customHeight="1">
      <c r="B10" s="946" t="s">
        <v>380</v>
      </c>
      <c r="C10" s="946"/>
      <c r="D10" s="953"/>
      <c r="E10" s="953"/>
      <c r="F10" s="953"/>
      <c r="G10" s="953"/>
      <c r="H10" s="946" t="s">
        <v>258</v>
      </c>
      <c r="I10" s="946"/>
      <c r="J10" s="954"/>
      <c r="K10" s="954"/>
      <c r="L10" s="954"/>
    </row>
    <row r="11" spans="1:12" ht="26.5" customHeight="1">
      <c r="B11" s="946" t="s">
        <v>264</v>
      </c>
      <c r="C11" s="946"/>
      <c r="D11" s="947"/>
      <c r="E11" s="947"/>
      <c r="F11" s="947"/>
      <c r="G11" s="947"/>
      <c r="H11" s="946" t="s">
        <v>381</v>
      </c>
      <c r="I11" s="946"/>
      <c r="J11" s="952"/>
      <c r="K11" s="952"/>
      <c r="L11" s="952"/>
    </row>
    <row r="12" spans="1:12" ht="26.5" customHeight="1">
      <c r="B12" s="946" t="s">
        <v>382</v>
      </c>
      <c r="C12" s="946"/>
      <c r="D12" s="947"/>
      <c r="E12" s="947"/>
      <c r="F12" s="947"/>
      <c r="G12" s="947"/>
      <c r="H12" s="947"/>
      <c r="I12" s="947"/>
      <c r="J12" s="947"/>
      <c r="K12" s="947"/>
      <c r="L12" s="947"/>
    </row>
    <row r="13" spans="1:12" ht="125.5" customHeight="1">
      <c r="A13" s="37"/>
      <c r="B13" s="946" t="s">
        <v>383</v>
      </c>
      <c r="C13" s="946"/>
      <c r="D13" s="947"/>
      <c r="E13" s="947"/>
      <c r="F13" s="947"/>
      <c r="G13" s="947"/>
      <c r="H13" s="947"/>
      <c r="I13" s="947"/>
      <c r="J13" s="947"/>
      <c r="K13" s="947"/>
      <c r="L13" s="947"/>
    </row>
    <row r="14" spans="1:12" ht="26.5" customHeight="1">
      <c r="A14" s="37"/>
      <c r="B14" s="946" t="s">
        <v>384</v>
      </c>
      <c r="C14" s="946"/>
      <c r="D14" s="950" t="s">
        <v>269</v>
      </c>
      <c r="E14" s="950"/>
      <c r="F14" s="950"/>
      <c r="G14" s="950"/>
      <c r="H14" s="950"/>
      <c r="I14" s="950"/>
      <c r="J14" s="951"/>
      <c r="K14" s="950"/>
      <c r="L14" s="950"/>
    </row>
    <row r="15" spans="1:12">
      <c r="A15" s="37"/>
      <c r="B15" s="946" t="s">
        <v>385</v>
      </c>
      <c r="C15" s="946"/>
      <c r="D15" s="947"/>
      <c r="E15" s="947"/>
      <c r="F15" s="947"/>
      <c r="G15" s="947"/>
      <c r="H15" s="947"/>
      <c r="I15" s="948"/>
      <c r="J15" s="87" t="s">
        <v>386</v>
      </c>
      <c r="K15" s="88"/>
      <c r="L15" s="89" t="s">
        <v>91</v>
      </c>
    </row>
    <row r="16" spans="1:12">
      <c r="A16" s="37"/>
      <c r="B16" s="946"/>
      <c r="C16" s="946"/>
      <c r="D16" s="947"/>
      <c r="E16" s="947"/>
      <c r="F16" s="947"/>
      <c r="G16" s="947"/>
      <c r="H16" s="947"/>
      <c r="I16" s="948"/>
      <c r="J16" s="87" t="s">
        <v>386</v>
      </c>
      <c r="K16" s="90"/>
      <c r="L16" s="89" t="s">
        <v>91</v>
      </c>
    </row>
    <row r="17" spans="1:12">
      <c r="A17" s="37"/>
      <c r="B17" s="946"/>
      <c r="C17" s="946"/>
      <c r="D17" s="947"/>
      <c r="E17" s="947"/>
      <c r="F17" s="947"/>
      <c r="G17" s="947"/>
      <c r="H17" s="947"/>
      <c r="I17" s="948"/>
      <c r="J17" s="87" t="s">
        <v>386</v>
      </c>
      <c r="K17" s="90"/>
      <c r="L17" s="89" t="s">
        <v>91</v>
      </c>
    </row>
    <row r="18" spans="1:12">
      <c r="A18" s="37"/>
      <c r="B18" s="946"/>
      <c r="C18" s="946"/>
      <c r="D18" s="947"/>
      <c r="E18" s="947"/>
      <c r="F18" s="947"/>
      <c r="G18" s="947"/>
      <c r="H18" s="947"/>
      <c r="I18" s="948"/>
      <c r="J18" s="87" t="s">
        <v>386</v>
      </c>
      <c r="K18" s="90"/>
      <c r="L18" s="89" t="s">
        <v>91</v>
      </c>
    </row>
    <row r="19" spans="1:12">
      <c r="B19" s="946"/>
      <c r="C19" s="946"/>
      <c r="D19" s="947"/>
      <c r="E19" s="947"/>
      <c r="F19" s="947"/>
      <c r="G19" s="947"/>
      <c r="H19" s="947"/>
      <c r="I19" s="948"/>
      <c r="J19" s="87" t="s">
        <v>386</v>
      </c>
      <c r="K19" s="90"/>
      <c r="L19" s="89" t="s">
        <v>91</v>
      </c>
    </row>
    <row r="20" spans="1:12">
      <c r="A20" s="37"/>
      <c r="B20" s="946"/>
      <c r="C20" s="946"/>
      <c r="D20" s="947"/>
      <c r="E20" s="947"/>
      <c r="F20" s="947"/>
      <c r="G20" s="947"/>
      <c r="H20" s="947"/>
      <c r="I20" s="948"/>
      <c r="J20" s="87" t="s">
        <v>386</v>
      </c>
      <c r="K20" s="90"/>
      <c r="L20" s="89" t="s">
        <v>91</v>
      </c>
    </row>
    <row r="21" spans="1:12">
      <c r="A21" s="37"/>
      <c r="B21" s="946"/>
      <c r="C21" s="946"/>
      <c r="D21" s="946" t="s">
        <v>387</v>
      </c>
      <c r="E21" s="946"/>
      <c r="F21" s="946"/>
      <c r="G21" s="946"/>
      <c r="H21" s="946"/>
      <c r="I21" s="949"/>
      <c r="J21" s="87" t="s">
        <v>386</v>
      </c>
      <c r="K21" s="90">
        <f>SUM(K15:K20)</f>
        <v>0</v>
      </c>
      <c r="L21" s="89" t="s">
        <v>91</v>
      </c>
    </row>
    <row r="22" spans="1:12">
      <c r="A22" s="37"/>
      <c r="B22" s="7"/>
      <c r="C22" s="7"/>
      <c r="D22" s="7"/>
      <c r="E22" s="7"/>
      <c r="F22" s="7"/>
      <c r="G22" s="7"/>
      <c r="H22" s="7"/>
      <c r="I22" s="7"/>
      <c r="J22" s="7"/>
      <c r="K22" s="7"/>
      <c r="L22" s="7"/>
    </row>
    <row r="23" spans="1:12">
      <c r="B23" s="590" t="s">
        <v>1420</v>
      </c>
      <c r="C23" s="590"/>
      <c r="D23" s="590"/>
      <c r="E23" s="590"/>
      <c r="F23" s="590"/>
      <c r="G23" s="590"/>
      <c r="H23" s="590"/>
      <c r="I23" s="590"/>
      <c r="J23" s="590"/>
      <c r="K23" s="590"/>
      <c r="L23" s="590"/>
    </row>
    <row r="24" spans="1:12">
      <c r="A24" s="37"/>
    </row>
    <row r="25" spans="1:12">
      <c r="A25" s="37"/>
    </row>
    <row r="26" spans="1:12">
      <c r="A26" s="37"/>
    </row>
    <row r="27" spans="1:12">
      <c r="A27" s="37"/>
    </row>
    <row r="28" spans="1:12">
      <c r="A28" s="37"/>
    </row>
    <row r="29" spans="1:12">
      <c r="A29" s="37"/>
    </row>
    <row r="30" spans="1:12">
      <c r="A30" s="37"/>
    </row>
    <row r="31" spans="1:12">
      <c r="A31" s="37"/>
    </row>
    <row r="32" spans="1:12">
      <c r="A32" s="46"/>
    </row>
    <row r="34" spans="1:1">
      <c r="A34" s="46"/>
    </row>
    <row r="38" spans="1:1">
      <c r="A38" s="46"/>
    </row>
  </sheetData>
  <mergeCells count="35">
    <mergeCell ref="B7:C7"/>
    <mergeCell ref="D7:F7"/>
    <mergeCell ref="G7:H7"/>
    <mergeCell ref="I7:L7"/>
    <mergeCell ref="B4:L4"/>
    <mergeCell ref="B6:C6"/>
    <mergeCell ref="D6:F6"/>
    <mergeCell ref="G6:H6"/>
    <mergeCell ref="I6:L6"/>
    <mergeCell ref="B11:C11"/>
    <mergeCell ref="D11:G11"/>
    <mergeCell ref="H11:I11"/>
    <mergeCell ref="J11:L11"/>
    <mergeCell ref="B9:C9"/>
    <mergeCell ref="D9:L9"/>
    <mergeCell ref="B10:C10"/>
    <mergeCell ref="D10:E10"/>
    <mergeCell ref="F10:G10"/>
    <mergeCell ref="H10:I10"/>
    <mergeCell ref="J10:L10"/>
    <mergeCell ref="B12:C12"/>
    <mergeCell ref="D12:L12"/>
    <mergeCell ref="B13:C13"/>
    <mergeCell ref="D13:L13"/>
    <mergeCell ref="B14:C14"/>
    <mergeCell ref="D14:L14"/>
    <mergeCell ref="B23:L23"/>
    <mergeCell ref="B15:C21"/>
    <mergeCell ref="D15:I15"/>
    <mergeCell ref="D16:I16"/>
    <mergeCell ref="D17:I17"/>
    <mergeCell ref="D18:I18"/>
    <mergeCell ref="D19:I19"/>
    <mergeCell ref="D20:I20"/>
    <mergeCell ref="D21:I21"/>
  </mergeCells>
  <phoneticPr fontId="4" type="noConversion"/>
  <dataValidations count="2">
    <dataValidation allowBlank="1" showInputMessage="1" showErrorMessage="1" prompt="시:분_x000a_(24시간제)" sqref="F10:G10" xr:uid="{00000000-0002-0000-0500-000000000000}"/>
    <dataValidation allowBlank="1" showInputMessage="1" showErrorMessage="1" prompt="yymmdd_x000a_(년-월-일)" sqref="D10:E10" xr:uid="{00000000-0002-0000-0500-000001000000}"/>
  </dataValidations>
  <pageMargins left="0.25" right="0.25" top="0.75" bottom="0.75" header="0.3" footer="0.3"/>
  <pageSetup paperSize="9"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행사개최내역서">
                <anchor moveWithCells="1" sizeWithCells="1">
                  <from>
                    <xdr:col>4</xdr:col>
                    <xdr:colOff>57150</xdr:colOff>
                    <xdr:row>24</xdr:row>
                    <xdr:rowOff>114300</xdr:rowOff>
                  </from>
                  <to>
                    <xdr:col>7</xdr:col>
                    <xdr:colOff>527050</xdr:colOff>
                    <xdr:row>26</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EDF345-C755-4416-A8FE-E564E5D25EF1}">
  <sheetPr codeName="Sheet20">
    <tabColor theme="4" tint="-0.499984740745262"/>
    <pageSetUpPr fitToPage="1"/>
  </sheetPr>
  <dimension ref="A1:L40"/>
  <sheetViews>
    <sheetView showGridLines="0" zoomScaleNormal="100" workbookViewId="0"/>
  </sheetViews>
  <sheetFormatPr defaultColWidth="9" defaultRowHeight="17"/>
  <cols>
    <col min="1" max="1" width="1.25" style="35" customWidth="1"/>
    <col min="2" max="9" width="9" style="4"/>
    <col min="10" max="10" width="2.08203125" style="4" customWidth="1"/>
    <col min="11" max="11" width="13.08203125" style="4" customWidth="1"/>
    <col min="12" max="12" width="3.6640625" style="4" customWidth="1"/>
    <col min="13" max="16384" width="9" style="4"/>
  </cols>
  <sheetData>
    <row r="1" spans="1:12">
      <c r="A1" s="4"/>
    </row>
    <row r="2" spans="1:12">
      <c r="A2" s="4"/>
    </row>
    <row r="3" spans="1:12">
      <c r="B3" s="24"/>
      <c r="C3" s="24"/>
      <c r="D3" s="24"/>
      <c r="E3" s="24"/>
      <c r="F3" s="24"/>
      <c r="G3" s="24"/>
      <c r="H3" s="24"/>
      <c r="I3" s="24"/>
      <c r="J3" s="24"/>
      <c r="K3" s="24"/>
      <c r="L3" s="24"/>
    </row>
    <row r="4" spans="1:12" ht="33.5">
      <c r="B4" s="618" t="s">
        <v>1574</v>
      </c>
      <c r="C4" s="618"/>
      <c r="D4" s="618"/>
      <c r="E4" s="618"/>
      <c r="F4" s="618"/>
      <c r="G4" s="618"/>
      <c r="H4" s="618"/>
      <c r="I4" s="618"/>
      <c r="J4" s="618"/>
      <c r="K4" s="618"/>
      <c r="L4" s="618"/>
    </row>
    <row r="5" spans="1:12">
      <c r="B5" s="55"/>
      <c r="C5" s="55"/>
      <c r="D5" s="55"/>
      <c r="E5" s="55"/>
      <c r="F5" s="55"/>
      <c r="G5" s="55"/>
      <c r="H5" s="55"/>
      <c r="I5" s="55"/>
      <c r="J5" s="55"/>
      <c r="K5" s="55"/>
      <c r="L5" s="55"/>
    </row>
    <row r="6" spans="1:12" ht="29.25" customHeight="1">
      <c r="A6" s="37"/>
      <c r="B6" s="946" t="s">
        <v>257</v>
      </c>
      <c r="C6" s="946"/>
      <c r="D6" s="947"/>
      <c r="E6" s="947"/>
      <c r="F6" s="947"/>
      <c r="G6" s="946" t="s">
        <v>204</v>
      </c>
      <c r="H6" s="946"/>
      <c r="I6" s="947"/>
      <c r="J6" s="947"/>
      <c r="K6" s="947"/>
      <c r="L6" s="947"/>
    </row>
    <row r="7" spans="1:12" ht="29.25" customHeight="1">
      <c r="A7" s="37"/>
      <c r="B7" s="949" t="s">
        <v>1564</v>
      </c>
      <c r="C7" s="957"/>
      <c r="D7" s="948"/>
      <c r="E7" s="955"/>
      <c r="F7" s="955"/>
      <c r="G7" s="955"/>
      <c r="H7" s="955"/>
      <c r="I7" s="955"/>
      <c r="J7" s="955"/>
      <c r="K7" s="955"/>
      <c r="L7" s="956"/>
    </row>
    <row r="8" spans="1:12" ht="29.25" customHeight="1">
      <c r="A8" s="37"/>
      <c r="B8" s="946" t="s">
        <v>1565</v>
      </c>
      <c r="C8" s="946"/>
      <c r="D8" s="948"/>
      <c r="E8" s="955"/>
      <c r="F8" s="956"/>
      <c r="G8" s="949" t="s">
        <v>1568</v>
      </c>
      <c r="H8" s="957"/>
      <c r="I8" s="948"/>
      <c r="J8" s="955"/>
      <c r="K8" s="955"/>
      <c r="L8" s="956"/>
    </row>
    <row r="9" spans="1:12" ht="29.25" customHeight="1">
      <c r="A9" s="37"/>
      <c r="B9" s="946" t="s">
        <v>1566</v>
      </c>
      <c r="C9" s="946"/>
      <c r="D9" s="948"/>
      <c r="E9" s="955"/>
      <c r="F9" s="956"/>
      <c r="G9" s="949" t="s">
        <v>1567</v>
      </c>
      <c r="H9" s="957"/>
      <c r="I9" s="948"/>
      <c r="J9" s="955"/>
      <c r="K9" s="955"/>
      <c r="L9" s="956"/>
    </row>
    <row r="10" spans="1:12">
      <c r="A10" s="37"/>
      <c r="B10" s="49"/>
      <c r="C10" s="49"/>
      <c r="D10" s="49"/>
      <c r="E10" s="49"/>
      <c r="F10" s="49"/>
      <c r="G10" s="49"/>
      <c r="H10" s="49"/>
      <c r="I10" s="49"/>
      <c r="J10" s="49"/>
      <c r="K10" s="49"/>
      <c r="L10" s="49"/>
    </row>
    <row r="11" spans="1:12" ht="30" customHeight="1">
      <c r="B11" s="946" t="s">
        <v>1562</v>
      </c>
      <c r="C11" s="946"/>
      <c r="D11" s="961">
        <v>45390</v>
      </c>
      <c r="E11" s="961"/>
      <c r="F11" s="962" t="s">
        <v>853</v>
      </c>
      <c r="G11" s="963"/>
      <c r="H11" s="946" t="s">
        <v>258</v>
      </c>
      <c r="I11" s="946"/>
      <c r="J11" s="954"/>
      <c r="K11" s="954"/>
      <c r="L11" s="954"/>
    </row>
    <row r="12" spans="1:12" ht="46.5" customHeight="1">
      <c r="B12" s="946" t="s">
        <v>1561</v>
      </c>
      <c r="C12" s="946"/>
      <c r="D12" s="947"/>
      <c r="E12" s="947"/>
      <c r="F12" s="947"/>
      <c r="G12" s="947"/>
      <c r="H12" s="946" t="s">
        <v>267</v>
      </c>
      <c r="I12" s="946"/>
      <c r="J12" s="952"/>
      <c r="K12" s="952"/>
      <c r="L12" s="952"/>
    </row>
    <row r="13" spans="1:12" ht="46.5" customHeight="1">
      <c r="B13" s="946" t="s">
        <v>1575</v>
      </c>
      <c r="C13" s="946"/>
      <c r="D13" s="950" t="s">
        <v>1576</v>
      </c>
      <c r="E13" s="950"/>
      <c r="F13" s="950"/>
      <c r="G13" s="950"/>
      <c r="H13" s="950"/>
      <c r="I13" s="950"/>
      <c r="J13" s="950"/>
      <c r="K13" s="950"/>
      <c r="L13" s="950"/>
    </row>
    <row r="14" spans="1:12" ht="46.5" customHeight="1">
      <c r="A14" s="37"/>
      <c r="B14" s="946" t="s">
        <v>384</v>
      </c>
      <c r="C14" s="946"/>
      <c r="D14" s="950" t="s">
        <v>269</v>
      </c>
      <c r="E14" s="950"/>
      <c r="F14" s="950"/>
      <c r="G14" s="950"/>
      <c r="H14" s="950"/>
      <c r="I14" s="950"/>
      <c r="J14" s="951"/>
      <c r="K14" s="950"/>
      <c r="L14" s="950"/>
    </row>
    <row r="15" spans="1:12" ht="21.75" customHeight="1">
      <c r="A15" s="37"/>
      <c r="B15" s="958"/>
      <c r="C15" s="958"/>
      <c r="D15" s="958"/>
      <c r="E15" s="958"/>
      <c r="F15" s="958"/>
      <c r="G15" s="958"/>
      <c r="H15" s="958"/>
      <c r="I15" s="958"/>
      <c r="J15" s="958"/>
      <c r="K15" s="958"/>
      <c r="L15" s="958"/>
    </row>
    <row r="16" spans="1:12" ht="11.25" customHeight="1">
      <c r="A16" s="37"/>
      <c r="B16" s="49"/>
      <c r="C16" s="49"/>
      <c r="D16" s="49"/>
      <c r="E16" s="49"/>
      <c r="F16" s="49"/>
      <c r="G16" s="49"/>
      <c r="H16" s="49"/>
      <c r="I16" s="49"/>
      <c r="J16" s="49"/>
      <c r="K16" s="49"/>
      <c r="L16" s="49"/>
    </row>
    <row r="17" spans="1:12" ht="34.5" customHeight="1">
      <c r="A17" s="37"/>
      <c r="B17" s="959" t="s">
        <v>1569</v>
      </c>
      <c r="C17" s="959"/>
      <c r="D17" s="959"/>
      <c r="E17" s="959"/>
      <c r="F17" s="959"/>
      <c r="G17" s="959"/>
      <c r="H17" s="959"/>
      <c r="I17" s="959"/>
      <c r="J17" s="959"/>
      <c r="K17" s="959"/>
      <c r="L17" s="959"/>
    </row>
    <row r="18" spans="1:12" ht="54.75" customHeight="1">
      <c r="A18" s="37"/>
      <c r="B18" s="960" t="s">
        <v>271</v>
      </c>
      <c r="C18" s="960"/>
      <c r="D18" s="960"/>
      <c r="E18" s="960"/>
      <c r="F18" s="960"/>
      <c r="G18" s="960"/>
      <c r="H18" s="960"/>
      <c r="I18" s="960"/>
      <c r="J18" s="960"/>
      <c r="K18" s="960"/>
      <c r="L18" s="960"/>
    </row>
    <row r="19" spans="1:12">
      <c r="A19" s="37"/>
    </row>
    <row r="20" spans="1:12" ht="16.5" customHeight="1">
      <c r="A20" s="37"/>
      <c r="B20" s="7"/>
      <c r="C20" s="7"/>
      <c r="D20" s="7"/>
      <c r="E20" s="7"/>
      <c r="F20" s="7"/>
      <c r="H20" s="4" t="s">
        <v>1573</v>
      </c>
      <c r="I20" s="576"/>
      <c r="J20" s="577"/>
      <c r="K20" s="578"/>
      <c r="L20" s="573"/>
    </row>
    <row r="21" spans="1:12">
      <c r="A21" s="37"/>
      <c r="B21" s="7"/>
      <c r="C21" s="7"/>
      <c r="D21" s="7"/>
      <c r="E21" s="7"/>
      <c r="F21" s="7"/>
      <c r="G21" s="7"/>
      <c r="H21" s="49"/>
      <c r="I21" s="49"/>
      <c r="J21" s="561"/>
      <c r="K21" s="573"/>
      <c r="L21" s="561"/>
    </row>
    <row r="22" spans="1:12">
      <c r="A22" s="37"/>
      <c r="B22" s="7"/>
      <c r="C22" s="7"/>
      <c r="D22" s="7"/>
      <c r="E22" s="7"/>
      <c r="F22" s="7"/>
      <c r="G22" s="7"/>
      <c r="H22" s="49"/>
      <c r="I22" s="49"/>
      <c r="J22" s="561"/>
      <c r="K22" s="561"/>
      <c r="L22" s="561"/>
    </row>
    <row r="25" spans="1:12">
      <c r="A25" s="37"/>
      <c r="B25" s="590" t="s">
        <v>1420</v>
      </c>
      <c r="C25" s="590"/>
      <c r="D25" s="590"/>
      <c r="E25" s="590"/>
      <c r="F25" s="590"/>
      <c r="G25" s="590"/>
      <c r="H25" s="590"/>
      <c r="I25" s="590"/>
      <c r="J25" s="590"/>
      <c r="K25" s="590"/>
      <c r="L25" s="590"/>
    </row>
    <row r="26" spans="1:12">
      <c r="A26" s="37"/>
      <c r="B26" s="562"/>
      <c r="C26" s="562"/>
      <c r="D26" s="562"/>
      <c r="E26" s="562"/>
      <c r="F26" s="562"/>
      <c r="G26" s="562"/>
      <c r="H26" s="562"/>
      <c r="I26" s="562"/>
      <c r="J26" s="562"/>
      <c r="K26" s="562"/>
      <c r="L26" s="562"/>
    </row>
    <row r="27" spans="1:12">
      <c r="A27" s="37"/>
    </row>
    <row r="28" spans="1:12">
      <c r="A28" s="37"/>
    </row>
    <row r="29" spans="1:12">
      <c r="A29" s="37"/>
    </row>
    <row r="30" spans="1:12">
      <c r="A30" s="37"/>
    </row>
    <row r="31" spans="1:12">
      <c r="A31" s="37"/>
    </row>
    <row r="32" spans="1:12">
      <c r="A32" s="37"/>
    </row>
    <row r="33" spans="1:1">
      <c r="A33" s="37"/>
    </row>
    <row r="34" spans="1:1">
      <c r="A34" s="46"/>
    </row>
    <row r="36" spans="1:1">
      <c r="A36" s="46"/>
    </row>
    <row r="40" spans="1:1">
      <c r="A40" s="46"/>
    </row>
  </sheetData>
  <mergeCells count="33">
    <mergeCell ref="B8:C8"/>
    <mergeCell ref="D8:F8"/>
    <mergeCell ref="G8:H8"/>
    <mergeCell ref="I8:L8"/>
    <mergeCell ref="B4:L4"/>
    <mergeCell ref="B6:C6"/>
    <mergeCell ref="D6:F6"/>
    <mergeCell ref="G6:H6"/>
    <mergeCell ref="I6:L6"/>
    <mergeCell ref="B7:C7"/>
    <mergeCell ref="D7:L7"/>
    <mergeCell ref="D13:L13"/>
    <mergeCell ref="B11:C11"/>
    <mergeCell ref="D11:E11"/>
    <mergeCell ref="F11:G11"/>
    <mergeCell ref="H11:I11"/>
    <mergeCell ref="J11:L11"/>
    <mergeCell ref="B9:C9"/>
    <mergeCell ref="D9:F9"/>
    <mergeCell ref="G9:H9"/>
    <mergeCell ref="I9:L9"/>
    <mergeCell ref="B25:L25"/>
    <mergeCell ref="D15:L15"/>
    <mergeCell ref="B15:C15"/>
    <mergeCell ref="B17:L17"/>
    <mergeCell ref="B18:L18"/>
    <mergeCell ref="B14:C14"/>
    <mergeCell ref="D14:L14"/>
    <mergeCell ref="B12:C12"/>
    <mergeCell ref="D12:G12"/>
    <mergeCell ref="H12:I12"/>
    <mergeCell ref="J12:L12"/>
    <mergeCell ref="B13:C13"/>
  </mergeCells>
  <phoneticPr fontId="4" type="noConversion"/>
  <dataValidations count="2">
    <dataValidation allowBlank="1" showInputMessage="1" showErrorMessage="1" prompt="yymmdd_x000a_(년-월-일)" sqref="D11:E11" xr:uid="{35DD7C0F-C17F-494D-BF26-6354EA47BB73}"/>
    <dataValidation allowBlank="1" showInputMessage="1" showErrorMessage="1" prompt="시:분_x000a_(24시간제)" sqref="F11" xr:uid="{D0EA28BF-DD46-4760-962D-56BBFFB75561}"/>
  </dataValidations>
  <pageMargins left="0.25" right="0.25" top="0.75" bottom="0.75" header="0.3" footer="0.3"/>
  <pageSetup paperSize="9"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행사개최내역서">
                <anchor moveWithCells="1" sizeWithCells="1">
                  <from>
                    <xdr:col>3</xdr:col>
                    <xdr:colOff>666750</xdr:colOff>
                    <xdr:row>28</xdr:row>
                    <xdr:rowOff>171450</xdr:rowOff>
                  </from>
                  <to>
                    <xdr:col>7</xdr:col>
                    <xdr:colOff>457200</xdr:colOff>
                    <xdr:row>30</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499984740745262"/>
    <pageSetUpPr fitToPage="1"/>
  </sheetPr>
  <dimension ref="B2:AC51"/>
  <sheetViews>
    <sheetView showGridLines="0" zoomScale="70" zoomScaleNormal="70" workbookViewId="0"/>
  </sheetViews>
  <sheetFormatPr defaultRowHeight="17"/>
  <cols>
    <col min="1" max="1" width="1.25" customWidth="1"/>
    <col min="2" max="2" width="3.08203125" customWidth="1"/>
    <col min="3" max="3" width="0.75" customWidth="1"/>
    <col min="14" max="14" width="4" customWidth="1"/>
    <col min="15" max="15" width="3.33203125" customWidth="1"/>
    <col min="16" max="16" width="1.25" customWidth="1"/>
    <col min="17" max="17" width="3" customWidth="1"/>
    <col min="29" max="29" width="2.4140625" customWidth="1"/>
  </cols>
  <sheetData>
    <row r="2" spans="2:29" ht="15.75" customHeight="1"/>
    <row r="3" spans="2:29" s="4" customFormat="1">
      <c r="B3" s="964" t="s">
        <v>1235</v>
      </c>
      <c r="C3" s="964"/>
      <c r="D3" s="964"/>
      <c r="Q3" s="4" t="s">
        <v>148</v>
      </c>
    </row>
    <row r="4" spans="2:29" s="4" customFormat="1">
      <c r="B4" s="426"/>
      <c r="C4" s="424"/>
      <c r="D4" s="424"/>
      <c r="E4" s="425"/>
      <c r="F4" s="425"/>
      <c r="G4" s="425"/>
      <c r="H4" s="425"/>
      <c r="I4" s="425"/>
      <c r="J4" s="425"/>
      <c r="K4" s="425"/>
      <c r="L4" s="425"/>
      <c r="M4" s="425"/>
      <c r="N4" s="425"/>
      <c r="O4" s="427"/>
      <c r="Q4" s="439"/>
      <c r="R4" s="425"/>
      <c r="S4" s="425"/>
      <c r="T4" s="425"/>
      <c r="U4" s="425"/>
      <c r="V4" s="425"/>
      <c r="W4" s="425"/>
      <c r="X4" s="425"/>
      <c r="Y4" s="425"/>
      <c r="Z4" s="425"/>
      <c r="AA4" s="425"/>
      <c r="AB4" s="425"/>
      <c r="AC4" s="427"/>
    </row>
    <row r="5" spans="2:29" s="4" customFormat="1" ht="33.75" customHeight="1">
      <c r="B5" s="471"/>
      <c r="C5" s="421"/>
      <c r="D5" s="617" t="s">
        <v>1347</v>
      </c>
      <c r="E5" s="617"/>
      <c r="F5" s="617"/>
      <c r="G5" s="617"/>
      <c r="H5" s="617"/>
      <c r="I5" s="617"/>
      <c r="J5" s="617"/>
      <c r="K5" s="617"/>
      <c r="L5" s="617"/>
      <c r="M5" s="617"/>
      <c r="N5" s="617"/>
      <c r="O5" s="441"/>
      <c r="Q5" s="440"/>
      <c r="R5" s="972" t="s">
        <v>806</v>
      </c>
      <c r="S5" s="973"/>
      <c r="T5" s="973"/>
      <c r="U5" s="973"/>
      <c r="V5" s="973"/>
      <c r="W5" s="973"/>
      <c r="X5" s="973"/>
      <c r="Y5" s="973"/>
      <c r="Z5" s="973"/>
      <c r="AA5" s="973"/>
      <c r="AB5" s="973"/>
      <c r="AC5" s="446"/>
    </row>
    <row r="6" spans="2:29" s="4" customFormat="1" ht="15.75" customHeight="1">
      <c r="B6" s="428"/>
      <c r="C6" s="25"/>
      <c r="D6" s="25"/>
      <c r="E6" s="25"/>
      <c r="F6" s="25"/>
      <c r="G6" s="25"/>
      <c r="H6" s="25"/>
      <c r="I6" s="25"/>
      <c r="J6" s="25"/>
      <c r="K6" s="25"/>
      <c r="L6" s="25"/>
      <c r="M6" s="25"/>
      <c r="N6" s="25"/>
      <c r="O6" s="429"/>
      <c r="Q6" s="440"/>
      <c r="R6" s="421"/>
      <c r="S6" s="421"/>
      <c r="T6" s="421"/>
      <c r="U6" s="421"/>
      <c r="V6" s="421"/>
      <c r="W6" s="421"/>
      <c r="X6" s="421"/>
      <c r="Y6" s="421"/>
      <c r="Z6" s="421"/>
      <c r="AA6" s="421"/>
      <c r="AB6" s="421"/>
      <c r="AC6" s="441"/>
    </row>
    <row r="7" spans="2:29">
      <c r="B7" s="430"/>
      <c r="C7" s="423"/>
      <c r="D7" s="967" t="s">
        <v>1305</v>
      </c>
      <c r="E7" s="967"/>
      <c r="F7" s="967"/>
      <c r="G7" s="967"/>
      <c r="H7" s="967"/>
      <c r="I7" s="967"/>
      <c r="J7" s="967"/>
      <c r="K7" s="967"/>
      <c r="L7" s="967"/>
      <c r="M7" s="967"/>
      <c r="N7" s="967"/>
      <c r="O7" s="431"/>
      <c r="Q7" s="430"/>
      <c r="R7" s="967" t="s">
        <v>1307</v>
      </c>
      <c r="S7" s="967"/>
      <c r="T7" s="967"/>
      <c r="U7" s="967"/>
      <c r="V7" s="967"/>
      <c r="W7" s="967"/>
      <c r="X7" s="967"/>
      <c r="Y7" s="967"/>
      <c r="Z7" s="967"/>
      <c r="AA7" s="967"/>
      <c r="AB7" s="967"/>
      <c r="AC7" s="445"/>
    </row>
    <row r="8" spans="2:29">
      <c r="B8" s="430"/>
      <c r="D8" s="475"/>
      <c r="E8" s="475"/>
      <c r="F8" s="475"/>
      <c r="G8" s="475"/>
      <c r="H8" s="475"/>
      <c r="I8" s="475"/>
      <c r="J8" s="475"/>
      <c r="K8" s="475"/>
      <c r="L8" s="475"/>
      <c r="M8" s="475"/>
      <c r="N8" s="475"/>
      <c r="O8" s="431"/>
      <c r="Q8" s="430"/>
      <c r="R8" s="11"/>
      <c r="S8" s="11"/>
      <c r="T8" s="11"/>
      <c r="U8" s="11"/>
      <c r="V8" s="11"/>
      <c r="W8" s="11"/>
      <c r="X8" s="11"/>
      <c r="Y8" s="11"/>
      <c r="Z8" s="11"/>
      <c r="AA8" s="11"/>
      <c r="AB8" s="11"/>
      <c r="AC8" s="442"/>
    </row>
    <row r="9" spans="2:29" ht="16.5" customHeight="1">
      <c r="B9" s="430"/>
      <c r="D9" s="476" t="s">
        <v>1309</v>
      </c>
      <c r="E9" s="465"/>
      <c r="F9" s="465"/>
      <c r="G9" s="465"/>
      <c r="H9" s="465"/>
      <c r="I9" s="465"/>
      <c r="J9" s="465"/>
      <c r="K9" s="465"/>
      <c r="L9" s="465"/>
      <c r="M9" s="465"/>
      <c r="N9" s="422"/>
      <c r="O9" s="432"/>
      <c r="Q9" s="430"/>
      <c r="R9" s="438" t="s">
        <v>1316</v>
      </c>
      <c r="S9" s="481"/>
      <c r="T9" s="481"/>
      <c r="U9" s="481"/>
      <c r="V9" s="481"/>
      <c r="W9" s="481"/>
      <c r="X9" s="481"/>
      <c r="Y9" s="481"/>
      <c r="Z9" s="481"/>
      <c r="AA9" s="481"/>
      <c r="AB9" s="481"/>
      <c r="AC9" s="482"/>
    </row>
    <row r="10" spans="2:29">
      <c r="B10" s="430"/>
      <c r="D10" s="468"/>
      <c r="E10" s="468"/>
      <c r="F10" s="468"/>
      <c r="G10" s="468"/>
      <c r="H10" s="468"/>
      <c r="I10" s="468"/>
      <c r="J10" s="468"/>
      <c r="K10" s="468"/>
      <c r="L10" s="468"/>
      <c r="M10" s="468"/>
      <c r="N10" s="468"/>
      <c r="O10" s="432"/>
      <c r="Q10" s="430"/>
      <c r="R10" s="438" t="s">
        <v>1317</v>
      </c>
      <c r="S10" s="481"/>
      <c r="T10" s="481"/>
      <c r="U10" s="481"/>
      <c r="V10" s="481"/>
      <c r="W10" s="481"/>
      <c r="X10" s="481"/>
      <c r="Y10" s="481"/>
      <c r="Z10" s="481"/>
      <c r="AA10" s="481"/>
      <c r="AB10" s="481"/>
      <c r="AC10" s="482"/>
    </row>
    <row r="11" spans="2:29" ht="16.5" customHeight="1">
      <c r="B11" s="430"/>
      <c r="D11" s="468" t="s">
        <v>1310</v>
      </c>
      <c r="E11" s="17"/>
      <c r="F11" s="17"/>
      <c r="G11" s="17"/>
      <c r="H11" s="17"/>
      <c r="I11" s="17"/>
      <c r="J11" s="17"/>
      <c r="K11" s="17"/>
      <c r="L11" s="17"/>
      <c r="M11" s="17"/>
      <c r="N11" s="17"/>
      <c r="O11" s="432"/>
      <c r="Q11" s="430"/>
      <c r="R11" s="438" t="s">
        <v>1318</v>
      </c>
      <c r="AC11" s="482"/>
    </row>
    <row r="12" spans="2:29" ht="16.5" customHeight="1">
      <c r="B12" s="430"/>
      <c r="D12" s="14" t="s">
        <v>1242</v>
      </c>
      <c r="E12" s="14"/>
      <c r="F12" s="14"/>
      <c r="G12" s="14"/>
      <c r="H12" s="14"/>
      <c r="I12" s="14"/>
      <c r="J12" s="14"/>
      <c r="K12" s="14"/>
      <c r="L12" s="14"/>
      <c r="M12" s="14"/>
      <c r="N12" s="14"/>
      <c r="O12" s="432"/>
      <c r="Q12" s="430"/>
      <c r="R12" s="965" t="s">
        <v>1319</v>
      </c>
      <c r="S12" s="965"/>
      <c r="T12" s="965"/>
      <c r="U12" s="965"/>
      <c r="V12" s="965"/>
      <c r="W12" s="965"/>
      <c r="X12" s="965"/>
      <c r="Y12" s="965"/>
      <c r="Z12" s="965"/>
      <c r="AA12" s="965"/>
      <c r="AB12" s="965"/>
      <c r="AC12" s="966"/>
    </row>
    <row r="13" spans="2:29" ht="16.5" customHeight="1">
      <c r="B13" s="430"/>
      <c r="D13" s="14" t="s">
        <v>1243</v>
      </c>
      <c r="O13" s="432"/>
      <c r="Q13" s="430"/>
      <c r="R13" s="965" t="s">
        <v>1320</v>
      </c>
      <c r="S13" s="965"/>
      <c r="T13" s="965"/>
      <c r="U13" s="965"/>
      <c r="V13" s="965"/>
      <c r="W13" s="965"/>
      <c r="X13" s="965"/>
      <c r="Y13" s="965"/>
      <c r="Z13" s="965"/>
      <c r="AA13" s="965"/>
      <c r="AB13" s="965"/>
      <c r="AC13" s="966"/>
    </row>
    <row r="14" spans="2:29">
      <c r="B14" s="430"/>
      <c r="D14" s="14" t="s">
        <v>149</v>
      </c>
      <c r="E14" s="14"/>
      <c r="F14" s="14"/>
      <c r="G14" s="14"/>
      <c r="H14" s="14"/>
      <c r="I14" s="14"/>
      <c r="J14" s="14"/>
      <c r="K14" s="14"/>
      <c r="L14" s="14"/>
      <c r="M14" s="14"/>
      <c r="N14" s="14"/>
      <c r="O14" s="432"/>
      <c r="Q14" s="430"/>
      <c r="AC14" s="445"/>
    </row>
    <row r="15" spans="2:29" ht="16.5" customHeight="1">
      <c r="B15" s="430"/>
      <c r="D15" s="468" t="s">
        <v>150</v>
      </c>
      <c r="E15" s="17"/>
      <c r="F15" s="17"/>
      <c r="G15" s="17"/>
      <c r="H15" s="17"/>
      <c r="I15" s="17"/>
      <c r="J15" s="17"/>
      <c r="K15" s="17"/>
      <c r="L15" s="17"/>
      <c r="M15" s="17"/>
      <c r="N15" s="17"/>
      <c r="O15" s="432"/>
      <c r="Q15" s="430"/>
      <c r="R15" s="967" t="s">
        <v>1321</v>
      </c>
      <c r="S15" s="967"/>
      <c r="T15" s="967"/>
      <c r="U15" s="967"/>
      <c r="V15" s="967"/>
      <c r="W15" s="967"/>
      <c r="X15" s="967"/>
      <c r="Y15" s="967"/>
      <c r="Z15" s="967"/>
      <c r="AA15" s="967"/>
      <c r="AB15" s="967"/>
      <c r="AC15" s="480"/>
    </row>
    <row r="16" spans="2:29" ht="16.5" customHeight="1">
      <c r="B16" s="430"/>
      <c r="D16" s="380" t="s">
        <v>1086</v>
      </c>
      <c r="E16" s="358"/>
      <c r="F16" s="358"/>
      <c r="G16" s="358"/>
      <c r="H16" s="358"/>
      <c r="I16" s="358"/>
      <c r="J16" s="358"/>
      <c r="K16" s="358"/>
      <c r="L16" s="15"/>
      <c r="M16" s="15"/>
      <c r="N16" s="15"/>
      <c r="O16" s="433"/>
      <c r="Q16" s="430"/>
      <c r="S16" s="479"/>
      <c r="T16" s="479"/>
      <c r="U16" s="479"/>
      <c r="V16" s="479"/>
      <c r="W16" s="479"/>
      <c r="X16" s="479"/>
      <c r="Y16" s="479"/>
      <c r="Z16" s="479"/>
      <c r="AA16" s="479"/>
      <c r="AB16" s="479"/>
      <c r="AC16" s="480"/>
    </row>
    <row r="17" spans="2:29" ht="16.5" customHeight="1">
      <c r="B17" s="430"/>
      <c r="D17" s="380" t="s">
        <v>1085</v>
      </c>
      <c r="E17" s="358"/>
      <c r="F17" s="358"/>
      <c r="G17" s="358"/>
      <c r="H17" s="358"/>
      <c r="I17" s="358"/>
      <c r="J17" s="358"/>
      <c r="K17" s="358"/>
      <c r="L17" s="15"/>
      <c r="M17" s="15"/>
      <c r="N17" s="15"/>
      <c r="O17" s="433"/>
      <c r="Q17" s="430"/>
      <c r="R17" s="438" t="s">
        <v>1327</v>
      </c>
      <c r="S17" s="479"/>
      <c r="T17" s="479"/>
      <c r="U17" s="479"/>
      <c r="V17" s="479"/>
      <c r="W17" s="479"/>
      <c r="X17" s="479"/>
      <c r="Y17" s="479"/>
      <c r="Z17" s="479"/>
      <c r="AA17" s="479"/>
      <c r="AB17" s="479"/>
      <c r="AC17" s="480"/>
    </row>
    <row r="18" spans="2:29" ht="16.5" customHeight="1">
      <c r="B18" s="430"/>
      <c r="D18" s="380" t="s">
        <v>1087</v>
      </c>
      <c r="E18" s="358"/>
      <c r="F18" s="358"/>
      <c r="G18" s="358"/>
      <c r="H18" s="358"/>
      <c r="I18" s="358"/>
      <c r="J18" s="358"/>
      <c r="K18" s="358"/>
      <c r="L18" s="15"/>
      <c r="M18" s="15"/>
      <c r="N18" s="15"/>
      <c r="O18" s="433"/>
      <c r="Q18" s="430"/>
      <c r="R18" s="483" t="s">
        <v>1322</v>
      </c>
      <c r="S18" s="479"/>
      <c r="T18" s="479"/>
      <c r="U18" s="479"/>
      <c r="V18" s="479"/>
      <c r="W18" s="479"/>
      <c r="X18" s="479"/>
      <c r="Y18" s="479"/>
      <c r="Z18" s="479"/>
      <c r="AA18" s="479"/>
      <c r="AB18" s="479"/>
      <c r="AC18" s="480"/>
    </row>
    <row r="19" spans="2:29">
      <c r="B19" s="430"/>
      <c r="D19" s="380" t="s">
        <v>1092</v>
      </c>
      <c r="E19" s="358"/>
      <c r="F19" s="358"/>
      <c r="G19" s="358"/>
      <c r="H19" s="358"/>
      <c r="I19" s="358"/>
      <c r="J19" s="358"/>
      <c r="K19" s="358"/>
      <c r="L19" s="15"/>
      <c r="M19" s="15"/>
      <c r="N19" s="15"/>
      <c r="O19" s="433"/>
      <c r="Q19" s="430"/>
      <c r="R19" s="483" t="s">
        <v>1323</v>
      </c>
      <c r="S19" s="479"/>
      <c r="T19" s="479"/>
      <c r="U19" s="479"/>
      <c r="V19" s="479"/>
      <c r="W19" s="479"/>
      <c r="X19" s="479"/>
      <c r="Y19" s="479"/>
      <c r="Z19" s="479"/>
      <c r="AA19" s="479"/>
      <c r="AB19" s="479"/>
      <c r="AC19" s="480"/>
    </row>
    <row r="20" spans="2:29" ht="16.5" customHeight="1">
      <c r="B20" s="430"/>
      <c r="D20" s="14"/>
      <c r="E20" s="14"/>
      <c r="F20" s="14"/>
      <c r="G20" s="14"/>
      <c r="H20" s="14"/>
      <c r="I20" s="14"/>
      <c r="J20" s="14"/>
      <c r="K20" s="14"/>
      <c r="L20" s="14"/>
      <c r="M20" s="14"/>
      <c r="N20" s="14"/>
      <c r="O20" s="432"/>
      <c r="Q20" s="430"/>
      <c r="R20" s="483" t="s">
        <v>1324</v>
      </c>
      <c r="S20" s="479"/>
      <c r="T20" s="479"/>
      <c r="U20" s="479"/>
      <c r="V20" s="479"/>
      <c r="W20" s="479"/>
      <c r="X20" s="479"/>
      <c r="Y20" s="479"/>
      <c r="Z20" s="479"/>
      <c r="AA20" s="479"/>
      <c r="AB20" s="479"/>
      <c r="AC20" s="480"/>
    </row>
    <row r="21" spans="2:29" ht="16.5" customHeight="1">
      <c r="B21" s="430"/>
      <c r="C21" s="423"/>
      <c r="D21" s="967" t="s">
        <v>1311</v>
      </c>
      <c r="E21" s="967"/>
      <c r="F21" s="967"/>
      <c r="G21" s="967"/>
      <c r="H21" s="967"/>
      <c r="I21" s="967"/>
      <c r="J21" s="967"/>
      <c r="K21" s="967"/>
      <c r="L21" s="967"/>
      <c r="M21" s="967"/>
      <c r="N21" s="967"/>
      <c r="O21" s="434"/>
      <c r="Q21" s="430"/>
      <c r="R21" s="483" t="s">
        <v>1325</v>
      </c>
      <c r="S21" s="479"/>
      <c r="T21" s="479"/>
      <c r="U21" s="479"/>
      <c r="V21" s="479"/>
      <c r="W21" s="479"/>
      <c r="X21" s="479"/>
      <c r="Y21" s="479"/>
      <c r="Z21" s="479"/>
      <c r="AA21" s="479"/>
      <c r="AB21" s="479"/>
      <c r="AC21" s="480"/>
    </row>
    <row r="22" spans="2:29" ht="16.5" customHeight="1">
      <c r="B22" s="430"/>
      <c r="D22" s="14" t="s">
        <v>1330</v>
      </c>
      <c r="E22" s="14"/>
      <c r="F22" s="14"/>
      <c r="G22" s="14"/>
      <c r="H22" s="14"/>
      <c r="I22" s="14"/>
      <c r="J22" s="14"/>
      <c r="K22" s="14"/>
      <c r="L22" s="14"/>
      <c r="M22" s="14"/>
      <c r="N22" s="14"/>
      <c r="O22" s="432"/>
      <c r="Q22" s="430"/>
      <c r="R22" s="483" t="s">
        <v>1326</v>
      </c>
      <c r="S22" s="479"/>
      <c r="T22" s="479"/>
      <c r="U22" s="479"/>
      <c r="V22" s="479"/>
      <c r="W22" s="479"/>
      <c r="X22" s="479"/>
      <c r="Y22" s="479"/>
      <c r="Z22" s="479"/>
      <c r="AA22" s="479"/>
      <c r="AB22" s="479"/>
      <c r="AC22" s="480"/>
    </row>
    <row r="23" spans="2:29">
      <c r="B23" s="430"/>
      <c r="D23" s="362" t="s">
        <v>1312</v>
      </c>
      <c r="E23" s="14"/>
      <c r="F23" s="14"/>
      <c r="G23" s="14"/>
      <c r="H23" s="14"/>
      <c r="I23" s="14"/>
      <c r="J23" s="14"/>
      <c r="K23" s="14"/>
      <c r="L23" s="14"/>
      <c r="M23" s="14"/>
      <c r="N23" s="14"/>
      <c r="O23" s="432"/>
      <c r="Q23" s="430"/>
      <c r="R23" s="483" t="s">
        <v>1329</v>
      </c>
      <c r="S23" s="479"/>
      <c r="T23" s="479"/>
      <c r="U23" s="479"/>
      <c r="V23" s="479"/>
      <c r="W23" s="479"/>
      <c r="X23" s="479"/>
      <c r="Y23" s="479"/>
      <c r="Z23" s="479"/>
      <c r="AA23" s="479"/>
      <c r="AB23" s="479"/>
      <c r="AC23" s="480"/>
    </row>
    <row r="24" spans="2:29">
      <c r="B24" s="430"/>
      <c r="D24" s="14" t="s">
        <v>1308</v>
      </c>
      <c r="E24" s="14"/>
      <c r="F24" s="14"/>
      <c r="G24" s="14"/>
      <c r="H24" s="14"/>
      <c r="I24" s="14"/>
      <c r="J24" s="14"/>
      <c r="K24" s="14"/>
      <c r="L24" s="14"/>
      <c r="M24" s="14"/>
      <c r="N24" s="14"/>
      <c r="O24" s="432"/>
      <c r="Q24" s="430"/>
      <c r="R24" s="483" t="s">
        <v>1328</v>
      </c>
      <c r="S24" s="479"/>
      <c r="T24" s="479"/>
      <c r="U24" s="479"/>
      <c r="V24" s="479"/>
      <c r="W24" s="479"/>
      <c r="X24" s="479"/>
      <c r="Y24" s="479"/>
      <c r="Z24" s="479"/>
      <c r="AA24" s="479"/>
      <c r="AB24" s="479"/>
      <c r="AC24" s="480"/>
    </row>
    <row r="25" spans="2:29">
      <c r="B25" s="430"/>
      <c r="D25" s="476" t="s">
        <v>1313</v>
      </c>
      <c r="E25" s="14"/>
      <c r="F25" s="14"/>
      <c r="G25" s="14"/>
      <c r="H25" s="14"/>
      <c r="I25" s="14"/>
      <c r="J25" s="14"/>
      <c r="K25" s="14"/>
      <c r="L25" s="14"/>
      <c r="M25" s="14"/>
      <c r="N25" s="14"/>
      <c r="O25" s="432"/>
      <c r="Q25" s="430"/>
      <c r="R25" s="483" t="s">
        <v>1336</v>
      </c>
      <c r="S25" s="483"/>
      <c r="T25" s="479"/>
      <c r="U25" s="479"/>
      <c r="V25" s="479"/>
      <c r="W25" s="479"/>
      <c r="X25" s="479"/>
      <c r="Y25" s="479"/>
      <c r="Z25" s="479"/>
      <c r="AA25" s="479"/>
      <c r="AB25" s="479"/>
      <c r="AC25" s="480"/>
    </row>
    <row r="26" spans="2:29" ht="16.5" customHeight="1">
      <c r="B26" s="430"/>
      <c r="D26" s="477" t="s">
        <v>1331</v>
      </c>
      <c r="E26" s="14"/>
      <c r="F26" s="14"/>
      <c r="G26" s="14"/>
      <c r="H26" s="14"/>
      <c r="I26" s="14"/>
      <c r="J26" s="14"/>
      <c r="K26" s="14"/>
      <c r="L26" s="14"/>
      <c r="M26" s="14"/>
      <c r="N26" s="14"/>
      <c r="O26" s="435"/>
      <c r="Q26" s="430"/>
      <c r="R26" s="483" t="s">
        <v>1337</v>
      </c>
      <c r="S26" s="16"/>
      <c r="T26" s="16"/>
      <c r="U26" s="16"/>
      <c r="V26" s="16"/>
      <c r="W26" s="16"/>
      <c r="X26" s="16"/>
      <c r="Y26" s="16"/>
      <c r="Z26" s="16"/>
      <c r="AA26" s="16"/>
      <c r="AB26" s="16"/>
      <c r="AC26" s="443"/>
    </row>
    <row r="27" spans="2:29" ht="16.5" customHeight="1">
      <c r="B27" s="430"/>
      <c r="D27" s="14" t="s">
        <v>1332</v>
      </c>
      <c r="O27" s="431"/>
      <c r="Q27" s="430"/>
      <c r="S27" s="16"/>
      <c r="T27" s="16"/>
      <c r="U27" s="16"/>
      <c r="V27" s="16"/>
      <c r="W27" s="16"/>
      <c r="X27" s="16"/>
      <c r="Y27" s="16"/>
      <c r="Z27" s="16"/>
      <c r="AA27" s="16"/>
      <c r="AB27" s="16"/>
      <c r="AC27" s="443"/>
    </row>
    <row r="28" spans="2:29">
      <c r="B28" s="430"/>
      <c r="D28" s="14"/>
      <c r="O28" s="431"/>
      <c r="Q28" s="430"/>
      <c r="R28" s="14" t="s">
        <v>1241</v>
      </c>
      <c r="S28" s="17"/>
      <c r="T28" s="17"/>
      <c r="U28" s="17"/>
      <c r="V28" s="17"/>
      <c r="W28" s="17"/>
      <c r="X28" s="17"/>
      <c r="Y28" s="17"/>
      <c r="Z28" s="12"/>
      <c r="AA28" s="16"/>
      <c r="AB28" s="16"/>
      <c r="AC28" s="443"/>
    </row>
    <row r="29" spans="2:29" ht="16.5" customHeight="1">
      <c r="B29" s="430"/>
      <c r="D29" s="14" t="s">
        <v>156</v>
      </c>
      <c r="I29" s="14" t="s">
        <v>157</v>
      </c>
      <c r="K29" s="14" t="s">
        <v>158</v>
      </c>
      <c r="O29" s="431"/>
      <c r="Q29" s="430"/>
      <c r="R29" s="14" t="s">
        <v>1338</v>
      </c>
      <c r="S29" s="17"/>
      <c r="T29" s="17"/>
      <c r="U29" s="17"/>
      <c r="V29" s="17"/>
      <c r="W29" s="17"/>
      <c r="X29" s="17"/>
      <c r="Y29" s="17"/>
      <c r="Z29" s="12"/>
      <c r="AA29" s="16"/>
      <c r="AB29" s="16"/>
      <c r="AC29" s="443"/>
    </row>
    <row r="30" spans="2:29" ht="16.5" customHeight="1">
      <c r="B30" s="430"/>
      <c r="D30" s="14" t="s">
        <v>1240</v>
      </c>
      <c r="I30" s="14" t="s">
        <v>157</v>
      </c>
      <c r="K30" s="14" t="s">
        <v>158</v>
      </c>
      <c r="O30" s="431"/>
      <c r="Q30" s="430"/>
      <c r="AC30" s="447"/>
    </row>
    <row r="31" spans="2:29" ht="16.5" customHeight="1">
      <c r="B31" s="430"/>
      <c r="O31" s="431"/>
      <c r="Q31" s="430"/>
      <c r="R31" s="974" t="s">
        <v>1339</v>
      </c>
      <c r="S31" s="974"/>
      <c r="T31" s="974"/>
      <c r="U31" s="974"/>
      <c r="V31" s="974"/>
      <c r="W31" s="974"/>
      <c r="X31" s="974"/>
      <c r="Y31" s="974"/>
      <c r="Z31" s="974"/>
      <c r="AA31" s="974"/>
      <c r="AB31" s="974"/>
      <c r="AC31" s="484"/>
    </row>
    <row r="32" spans="2:29">
      <c r="B32" s="430"/>
      <c r="C32" s="423"/>
      <c r="D32" s="967" t="s">
        <v>1314</v>
      </c>
      <c r="E32" s="967"/>
      <c r="F32" s="967"/>
      <c r="G32" s="967"/>
      <c r="H32" s="967"/>
      <c r="I32" s="967"/>
      <c r="J32" s="967"/>
      <c r="K32" s="967"/>
      <c r="L32" s="967"/>
      <c r="M32" s="967"/>
      <c r="N32" s="967"/>
      <c r="O32" s="431"/>
      <c r="Q32" s="430"/>
      <c r="R32" s="485" t="s">
        <v>1340</v>
      </c>
      <c r="S32" s="83"/>
      <c r="T32" s="83"/>
      <c r="U32" s="83"/>
      <c r="V32" s="83"/>
      <c r="W32" s="83"/>
      <c r="X32" s="83"/>
      <c r="Y32" s="83"/>
      <c r="Z32" s="83"/>
      <c r="AA32" s="83"/>
      <c r="AB32" s="83"/>
      <c r="AC32" s="484"/>
    </row>
    <row r="33" spans="2:29" ht="44.25" customHeight="1">
      <c r="B33" s="430"/>
      <c r="D33" s="969" t="s">
        <v>1333</v>
      </c>
      <c r="E33" s="969"/>
      <c r="F33" s="969"/>
      <c r="G33" s="969"/>
      <c r="H33" s="969"/>
      <c r="I33" s="969"/>
      <c r="J33" s="969"/>
      <c r="K33" s="969"/>
      <c r="L33" s="969"/>
      <c r="M33" s="969"/>
      <c r="N33" s="969"/>
      <c r="O33" s="489"/>
      <c r="Q33" s="430"/>
      <c r="R33" s="892" t="s">
        <v>1342</v>
      </c>
      <c r="S33" s="892"/>
      <c r="T33" s="892"/>
      <c r="U33" s="892"/>
      <c r="V33" s="892"/>
      <c r="W33" s="892"/>
      <c r="X33" s="892"/>
      <c r="Y33" s="892"/>
      <c r="Z33" s="892"/>
      <c r="AA33" s="892"/>
      <c r="AB33" s="892"/>
      <c r="AC33" s="484"/>
    </row>
    <row r="34" spans="2:29" ht="92.25" customHeight="1">
      <c r="B34" s="430"/>
      <c r="D34" s="900" t="s">
        <v>1315</v>
      </c>
      <c r="E34" s="900"/>
      <c r="F34" s="900"/>
      <c r="G34" s="900"/>
      <c r="H34" s="900"/>
      <c r="I34" s="900"/>
      <c r="J34" s="900"/>
      <c r="K34" s="900"/>
      <c r="L34" s="900"/>
      <c r="M34" s="900"/>
      <c r="N34" s="900"/>
      <c r="O34" s="443"/>
      <c r="Q34" s="430"/>
      <c r="R34" s="892" t="s">
        <v>1341</v>
      </c>
      <c r="S34" s="892"/>
      <c r="T34" s="892"/>
      <c r="U34" s="892"/>
      <c r="V34" s="892"/>
      <c r="W34" s="892"/>
      <c r="X34" s="892"/>
      <c r="Y34" s="892"/>
      <c r="Z34" s="892"/>
      <c r="AA34" s="892"/>
      <c r="AB34" s="892"/>
      <c r="AC34" s="484"/>
    </row>
    <row r="35" spans="2:29" ht="16.5" customHeight="1">
      <c r="B35" s="430"/>
      <c r="D35" s="476" t="s">
        <v>1334</v>
      </c>
      <c r="E35" s="17"/>
      <c r="F35" s="17"/>
      <c r="G35" s="17"/>
      <c r="H35" s="17"/>
      <c r="I35" s="17"/>
      <c r="J35" s="17"/>
      <c r="K35" s="17"/>
      <c r="L35" s="17"/>
      <c r="M35" s="17"/>
      <c r="N35" s="17"/>
      <c r="O35" s="466"/>
      <c r="Q35" s="430"/>
      <c r="R35" s="486" t="s">
        <v>1344</v>
      </c>
      <c r="S35" s="420"/>
      <c r="T35" s="420"/>
      <c r="U35" s="420"/>
      <c r="V35" s="420"/>
      <c r="W35" s="420"/>
      <c r="X35" s="420"/>
      <c r="Y35" s="420"/>
      <c r="Z35" s="420"/>
      <c r="AA35" s="420"/>
      <c r="AB35" s="420"/>
      <c r="AC35" s="448"/>
    </row>
    <row r="36" spans="2:29" ht="16.5" customHeight="1">
      <c r="B36" s="430"/>
      <c r="D36" s="478" t="s">
        <v>1335</v>
      </c>
      <c r="E36" s="17"/>
      <c r="F36" s="17"/>
      <c r="G36" s="17"/>
      <c r="H36" s="17"/>
      <c r="I36" s="17"/>
      <c r="J36" s="17"/>
      <c r="K36" s="17"/>
      <c r="L36" s="17"/>
      <c r="M36" s="17"/>
      <c r="N36" s="17"/>
      <c r="O36" s="466"/>
      <c r="Q36" s="430"/>
      <c r="R36" s="486" t="s">
        <v>1343</v>
      </c>
      <c r="S36" s="420"/>
      <c r="T36" s="420"/>
      <c r="U36" s="420"/>
      <c r="V36" s="420"/>
      <c r="W36" s="420"/>
      <c r="X36" s="420"/>
      <c r="Y36" s="420"/>
      <c r="Z36" s="420"/>
      <c r="AA36" s="420"/>
      <c r="AB36" s="420"/>
      <c r="AC36" s="448"/>
    </row>
    <row r="37" spans="2:29" ht="17.25" customHeight="1">
      <c r="B37" s="430"/>
      <c r="D37" s="468"/>
      <c r="E37" s="17"/>
      <c r="F37" s="17"/>
      <c r="G37" s="17"/>
      <c r="H37" s="17"/>
      <c r="I37" s="17"/>
      <c r="J37" s="17"/>
      <c r="K37" s="17"/>
      <c r="L37" s="17"/>
      <c r="M37" s="17"/>
      <c r="N37" s="17"/>
      <c r="O37" s="466"/>
      <c r="Q37" s="430"/>
      <c r="R37" s="486" t="s">
        <v>1345</v>
      </c>
      <c r="S37" s="420"/>
      <c r="T37" s="420"/>
      <c r="U37" s="420"/>
      <c r="V37" s="420"/>
      <c r="W37" s="420"/>
      <c r="X37" s="420"/>
      <c r="Y37" s="420"/>
      <c r="Z37" s="420"/>
      <c r="AA37" s="420"/>
      <c r="AB37" s="420"/>
      <c r="AC37" s="448"/>
    </row>
    <row r="38" spans="2:29" ht="16.5" customHeight="1">
      <c r="B38" s="430"/>
      <c r="D38" s="478" t="s">
        <v>160</v>
      </c>
      <c r="E38" s="478"/>
      <c r="F38" s="478"/>
      <c r="G38" s="478"/>
      <c r="H38" s="478"/>
      <c r="I38" s="16" t="s">
        <v>157</v>
      </c>
      <c r="K38" s="468" t="s">
        <v>158</v>
      </c>
      <c r="L38" s="468"/>
      <c r="M38" s="17"/>
      <c r="N38" s="17"/>
      <c r="O38" s="431"/>
      <c r="Q38" s="430"/>
      <c r="R38" s="486" t="s">
        <v>1346</v>
      </c>
      <c r="AC38" s="448"/>
    </row>
    <row r="39" spans="2:29">
      <c r="B39" s="430"/>
      <c r="O39" s="431"/>
      <c r="Q39" s="430"/>
      <c r="S39" s="487"/>
      <c r="T39" s="487"/>
      <c r="U39" s="487"/>
      <c r="V39" s="487"/>
      <c r="W39" s="487"/>
      <c r="X39" s="487"/>
      <c r="Y39" s="487"/>
      <c r="Z39" s="487"/>
      <c r="AA39" s="487"/>
      <c r="AB39" s="487"/>
      <c r="AC39" s="488"/>
    </row>
    <row r="40" spans="2:29">
      <c r="B40" s="430"/>
      <c r="C40" s="469"/>
      <c r="D40" s="469"/>
      <c r="E40" s="469"/>
      <c r="F40" s="968">
        <f ca="1">TODAY()</f>
        <v>46132</v>
      </c>
      <c r="G40" s="968"/>
      <c r="H40" s="968"/>
      <c r="I40" s="968"/>
      <c r="J40" s="968"/>
      <c r="K40" s="469"/>
      <c r="L40" s="469"/>
      <c r="M40" s="469"/>
      <c r="N40" s="469"/>
      <c r="O40" s="470"/>
      <c r="Q40" s="430"/>
      <c r="R40" s="487" t="s">
        <v>1306</v>
      </c>
      <c r="S40" s="19"/>
      <c r="T40" s="19"/>
      <c r="U40" s="19"/>
      <c r="V40" s="19"/>
      <c r="W40" s="19"/>
      <c r="X40" s="19"/>
      <c r="Y40" s="19"/>
      <c r="AC40" s="444"/>
    </row>
    <row r="41" spans="2:29">
      <c r="B41" s="430"/>
      <c r="O41" s="431"/>
      <c r="Q41" s="430"/>
      <c r="R41" s="970">
        <f ca="1">TODAY()</f>
        <v>46132</v>
      </c>
      <c r="S41" s="970"/>
      <c r="T41" s="970"/>
      <c r="U41" s="970"/>
      <c r="V41" s="970"/>
      <c r="W41" s="970"/>
      <c r="X41" s="970"/>
      <c r="Y41" s="970"/>
      <c r="Z41" s="970"/>
      <c r="AA41" s="970"/>
      <c r="AB41" s="970"/>
      <c r="AC41" s="971"/>
    </row>
    <row r="42" spans="2:29">
      <c r="B42" s="430"/>
      <c r="O42" s="431"/>
      <c r="Q42" s="430"/>
      <c r="S42" s="19"/>
      <c r="T42" s="18"/>
      <c r="U42" s="18"/>
      <c r="V42" s="18"/>
      <c r="W42" s="19"/>
      <c r="X42" s="19"/>
      <c r="Y42" s="19"/>
      <c r="Z42" s="19"/>
      <c r="AA42" s="19"/>
      <c r="AB42" s="19"/>
      <c r="AC42" s="431"/>
    </row>
    <row r="43" spans="2:29">
      <c r="B43" s="430"/>
      <c r="D43" s="20"/>
      <c r="F43" s="18"/>
      <c r="G43" s="18"/>
      <c r="H43" s="18" t="s">
        <v>142</v>
      </c>
      <c r="I43" s="490" t="s">
        <v>809</v>
      </c>
      <c r="J43" s="467"/>
      <c r="K43" s="467" t="s">
        <v>846</v>
      </c>
      <c r="L43" s="467"/>
      <c r="M43" s="14" t="s">
        <v>145</v>
      </c>
      <c r="N43" s="14"/>
      <c r="O43" s="431"/>
      <c r="Q43" s="430"/>
      <c r="R43" t="s">
        <v>161</v>
      </c>
      <c r="S43" s="19"/>
      <c r="T43" s="19"/>
      <c r="U43" s="19"/>
      <c r="V43" s="19"/>
      <c r="W43" s="19"/>
      <c r="X43" s="19"/>
      <c r="Y43" s="19"/>
      <c r="AC43" s="444"/>
    </row>
    <row r="44" spans="2:29">
      <c r="B44" s="430"/>
      <c r="D44" s="19"/>
      <c r="E44" s="19"/>
      <c r="F44" s="19"/>
      <c r="G44" s="19"/>
      <c r="H44" s="19"/>
      <c r="I44" s="19"/>
      <c r="J44" s="19"/>
      <c r="K44" s="19"/>
      <c r="M44" s="19"/>
      <c r="N44" s="19"/>
      <c r="O44" s="431"/>
      <c r="Q44" s="430"/>
      <c r="R44" s="4" t="s">
        <v>162</v>
      </c>
      <c r="AC44" s="431"/>
    </row>
    <row r="45" spans="2:29">
      <c r="B45" s="430"/>
      <c r="D45" s="19"/>
      <c r="E45" s="19"/>
      <c r="F45" s="19"/>
      <c r="G45" s="19"/>
      <c r="H45" s="19"/>
      <c r="I45" s="19"/>
      <c r="J45" s="19"/>
      <c r="K45" s="19"/>
      <c r="L45" s="19"/>
      <c r="M45" s="19"/>
      <c r="N45" s="19"/>
      <c r="O45" s="431"/>
      <c r="Q45" s="430"/>
      <c r="R45" s="11" t="s">
        <v>163</v>
      </c>
      <c r="AC45" s="431"/>
    </row>
    <row r="46" spans="2:29">
      <c r="B46" s="430"/>
      <c r="D46" s="20"/>
      <c r="E46" s="19"/>
      <c r="F46" s="18"/>
      <c r="G46" s="18"/>
      <c r="H46" s="18"/>
      <c r="I46" s="19"/>
      <c r="J46" s="19"/>
      <c r="K46" s="19"/>
      <c r="L46" s="19"/>
      <c r="O46" s="431"/>
      <c r="Q46" s="430"/>
      <c r="R46" t="s">
        <v>164</v>
      </c>
      <c r="S46" s="21"/>
      <c r="X46" t="s">
        <v>165</v>
      </c>
      <c r="AC46" s="431"/>
    </row>
    <row r="47" spans="2:29" ht="11.25" customHeight="1">
      <c r="B47" s="436"/>
      <c r="C47" s="8"/>
      <c r="D47" s="171"/>
      <c r="E47" s="171"/>
      <c r="F47" s="171"/>
      <c r="G47" s="171"/>
      <c r="H47" s="171"/>
      <c r="I47" s="171"/>
      <c r="J47" s="171"/>
      <c r="K47" s="171"/>
      <c r="L47" s="171"/>
      <c r="M47" s="171"/>
      <c r="N47" s="171"/>
      <c r="O47" s="437"/>
      <c r="Q47" s="436"/>
      <c r="R47" s="171"/>
      <c r="S47" s="171"/>
      <c r="T47" s="171"/>
      <c r="U47" s="171"/>
      <c r="V47" s="171"/>
      <c r="W47" s="171"/>
      <c r="X47" s="171"/>
      <c r="Y47" s="171"/>
      <c r="Z47" s="171"/>
      <c r="AA47" s="171"/>
      <c r="AB47" s="171"/>
      <c r="AC47" s="437"/>
    </row>
    <row r="49" ht="15.75" customHeight="1"/>
    <row r="50" ht="15.75" customHeight="1"/>
    <row r="51" ht="15.75" customHeight="1"/>
  </sheetData>
  <mergeCells count="17">
    <mergeCell ref="R41:AC41"/>
    <mergeCell ref="R33:AB33"/>
    <mergeCell ref="R34:AB34"/>
    <mergeCell ref="R5:AB5"/>
    <mergeCell ref="R31:AB31"/>
    <mergeCell ref="R15:AB15"/>
    <mergeCell ref="B3:D3"/>
    <mergeCell ref="R12:AC12"/>
    <mergeCell ref="R13:AC13"/>
    <mergeCell ref="R7:AB7"/>
    <mergeCell ref="F40:J40"/>
    <mergeCell ref="D34:N34"/>
    <mergeCell ref="D5:N5"/>
    <mergeCell ref="D7:N7"/>
    <mergeCell ref="D21:N21"/>
    <mergeCell ref="D32:N32"/>
    <mergeCell ref="D33:N33"/>
  </mergeCells>
  <phoneticPr fontId="4" type="noConversion"/>
  <printOptions horizontalCentered="1"/>
  <pageMargins left="0.25" right="0.25" top="0.75" bottom="0.75" header="0.3" footer="0.3"/>
  <pageSetup paperSize="9" scale="85"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3080" r:id="rId4" name="Check Box 8">
              <controlPr defaultSize="0" autoFill="0" autoLine="0" autoPict="0">
                <anchor moveWithCells="1">
                  <from>
                    <xdr:col>27</xdr:col>
                    <xdr:colOff>19050</xdr:colOff>
                    <xdr:row>27</xdr:row>
                    <xdr:rowOff>12700</xdr:rowOff>
                  </from>
                  <to>
                    <xdr:col>27</xdr:col>
                    <xdr:colOff>222250</xdr:colOff>
                    <xdr:row>27</xdr:row>
                    <xdr:rowOff>184150</xdr:rowOff>
                  </to>
                </anchor>
              </controlPr>
            </control>
          </mc:Choice>
        </mc:AlternateContent>
        <mc:AlternateContent xmlns:mc="http://schemas.openxmlformats.org/markup-compatibility/2006">
          <mc:Choice Requires="x14">
            <control shapeId="3085" r:id="rId5" name="Check Box 13">
              <controlPr defaultSize="0" autoFill="0" autoLine="0" autoPict="0">
                <anchor moveWithCells="1">
                  <from>
                    <xdr:col>25</xdr:col>
                    <xdr:colOff>508000</xdr:colOff>
                    <xdr:row>28</xdr:row>
                    <xdr:rowOff>12700</xdr:rowOff>
                  </from>
                  <to>
                    <xdr:col>26</xdr:col>
                    <xdr:colOff>38100</xdr:colOff>
                    <xdr:row>28</xdr:row>
                    <xdr:rowOff>203200</xdr:rowOff>
                  </to>
                </anchor>
              </controlPr>
            </control>
          </mc:Choice>
        </mc:AlternateContent>
        <mc:AlternateContent xmlns:mc="http://schemas.openxmlformats.org/markup-compatibility/2006">
          <mc:Choice Requires="x14">
            <control shapeId="3086" r:id="rId6" name="Check Box 14">
              <controlPr defaultSize="0" autoFill="0" autoLine="0" autoPict="0">
                <anchor moveWithCells="1">
                  <from>
                    <xdr:col>27</xdr:col>
                    <xdr:colOff>19050</xdr:colOff>
                    <xdr:row>28</xdr:row>
                    <xdr:rowOff>0</xdr:rowOff>
                  </from>
                  <to>
                    <xdr:col>27</xdr:col>
                    <xdr:colOff>247650</xdr:colOff>
                    <xdr:row>28</xdr:row>
                    <xdr:rowOff>190500</xdr:rowOff>
                  </to>
                </anchor>
              </controlPr>
            </control>
          </mc:Choice>
        </mc:AlternateContent>
        <mc:AlternateContent xmlns:mc="http://schemas.openxmlformats.org/markup-compatibility/2006">
          <mc:Choice Requires="x14">
            <control shapeId="3087" r:id="rId7" name="Button 15">
              <controlPr defaultSize="0" print="0" autoFill="0" autoPict="0" macro="[0]!보안서약서수정1">
                <anchor moveWithCells="1" sizeWithCells="1">
                  <from>
                    <xdr:col>6</xdr:col>
                    <xdr:colOff>12700</xdr:colOff>
                    <xdr:row>48</xdr:row>
                    <xdr:rowOff>12700</xdr:rowOff>
                  </from>
                  <to>
                    <xdr:col>9</xdr:col>
                    <xdr:colOff>476250</xdr:colOff>
                    <xdr:row>49</xdr:row>
                    <xdr:rowOff>171450</xdr:rowOff>
                  </to>
                </anchor>
              </controlPr>
            </control>
          </mc:Choice>
        </mc:AlternateContent>
        <mc:AlternateContent xmlns:mc="http://schemas.openxmlformats.org/markup-compatibility/2006">
          <mc:Choice Requires="x14">
            <control shapeId="3088" r:id="rId8" name="Button 16">
              <controlPr defaultSize="0" print="0" autoFill="0" autoPict="0" macro="[0]!보안서약서영문수정본">
                <anchor moveWithCells="1" sizeWithCells="1">
                  <from>
                    <xdr:col>21</xdr:col>
                    <xdr:colOff>12700</xdr:colOff>
                    <xdr:row>48</xdr:row>
                    <xdr:rowOff>19050</xdr:rowOff>
                  </from>
                  <to>
                    <xdr:col>24</xdr:col>
                    <xdr:colOff>476250</xdr:colOff>
                    <xdr:row>49</xdr:row>
                    <xdr:rowOff>184150</xdr:rowOff>
                  </to>
                </anchor>
              </controlPr>
            </control>
          </mc:Choice>
        </mc:AlternateContent>
        <mc:AlternateContent xmlns:mc="http://schemas.openxmlformats.org/markup-compatibility/2006">
          <mc:Choice Requires="x14">
            <control shapeId="3081" r:id="rId9" name="Check Box 9">
              <controlPr defaultSize="0" autoFill="0" autoLine="0" autoPict="0">
                <anchor moveWithCells="1">
                  <from>
                    <xdr:col>25</xdr:col>
                    <xdr:colOff>495300</xdr:colOff>
                    <xdr:row>27</xdr:row>
                    <xdr:rowOff>0</xdr:rowOff>
                  </from>
                  <to>
                    <xdr:col>26</xdr:col>
                    <xdr:colOff>31750</xdr:colOff>
                    <xdr:row>27</xdr:row>
                    <xdr:rowOff>190500</xdr:rowOff>
                  </to>
                </anchor>
              </controlPr>
            </control>
          </mc:Choice>
        </mc:AlternateContent>
        <mc:AlternateContent xmlns:mc="http://schemas.openxmlformats.org/markup-compatibility/2006">
          <mc:Choice Requires="x14">
            <control shapeId="3107" r:id="rId10" name="Check Box 35">
              <controlPr defaultSize="0" autoFill="0" autoLine="0" autoPict="0">
                <anchor moveWithCells="1">
                  <from>
                    <xdr:col>25</xdr:col>
                    <xdr:colOff>374650</xdr:colOff>
                    <xdr:row>39</xdr:row>
                    <xdr:rowOff>0</xdr:rowOff>
                  </from>
                  <to>
                    <xdr:col>25</xdr:col>
                    <xdr:colOff>603250</xdr:colOff>
                    <xdr:row>39</xdr:row>
                    <xdr:rowOff>190500</xdr:rowOff>
                  </to>
                </anchor>
              </controlPr>
            </control>
          </mc:Choice>
        </mc:AlternateContent>
        <mc:AlternateContent xmlns:mc="http://schemas.openxmlformats.org/markup-compatibility/2006">
          <mc:Choice Requires="x14">
            <control shapeId="3110" r:id="rId11" name="Check Box 38">
              <controlPr defaultSize="0" autoFill="0" autoLine="0" autoPict="0">
                <anchor moveWithCells="1">
                  <from>
                    <xdr:col>26</xdr:col>
                    <xdr:colOff>603250</xdr:colOff>
                    <xdr:row>39</xdr:row>
                    <xdr:rowOff>0</xdr:rowOff>
                  </from>
                  <to>
                    <xdr:col>27</xdr:col>
                    <xdr:colOff>152400</xdr:colOff>
                    <xdr:row>39</xdr:row>
                    <xdr:rowOff>190500</xdr:rowOff>
                  </to>
                </anchor>
              </controlPr>
            </control>
          </mc:Choice>
        </mc:AlternateContent>
        <mc:AlternateContent xmlns:mc="http://schemas.openxmlformats.org/markup-compatibility/2006">
          <mc:Choice Requires="x14">
            <control shapeId="3073" r:id="rId12" name="Check Box 1">
              <controlPr defaultSize="0" autoFill="0" autoLine="0" autoPict="0">
                <anchor moveWithCells="1">
                  <from>
                    <xdr:col>8</xdr:col>
                    <xdr:colOff>457200</xdr:colOff>
                    <xdr:row>27</xdr:row>
                    <xdr:rowOff>184150</xdr:rowOff>
                  </from>
                  <to>
                    <xdr:col>8</xdr:col>
                    <xdr:colOff>660400</xdr:colOff>
                    <xdr:row>29</xdr:row>
                    <xdr:rowOff>19050</xdr:rowOff>
                  </to>
                </anchor>
              </controlPr>
            </control>
          </mc:Choice>
        </mc:AlternateContent>
        <mc:AlternateContent xmlns:mc="http://schemas.openxmlformats.org/markup-compatibility/2006">
          <mc:Choice Requires="x14">
            <control shapeId="3074" r:id="rId13" name="Check Box 2">
              <controlPr defaultSize="0" autoFill="0" autoLine="0" autoPict="0">
                <anchor moveWithCells="1">
                  <from>
                    <xdr:col>8</xdr:col>
                    <xdr:colOff>457200</xdr:colOff>
                    <xdr:row>36</xdr:row>
                    <xdr:rowOff>203200</xdr:rowOff>
                  </from>
                  <to>
                    <xdr:col>8</xdr:col>
                    <xdr:colOff>660400</xdr:colOff>
                    <xdr:row>38</xdr:row>
                    <xdr:rowOff>19050</xdr:rowOff>
                  </to>
                </anchor>
              </controlPr>
            </control>
          </mc:Choice>
        </mc:AlternateContent>
        <mc:AlternateContent xmlns:mc="http://schemas.openxmlformats.org/markup-compatibility/2006">
          <mc:Choice Requires="x14">
            <control shapeId="3075" r:id="rId14" name="Check Box 3">
              <controlPr defaultSize="0" autoFill="0" autoLine="0" autoPict="0">
                <anchor moveWithCells="1">
                  <from>
                    <xdr:col>8</xdr:col>
                    <xdr:colOff>457200</xdr:colOff>
                    <xdr:row>28</xdr:row>
                    <xdr:rowOff>190500</xdr:rowOff>
                  </from>
                  <to>
                    <xdr:col>8</xdr:col>
                    <xdr:colOff>660400</xdr:colOff>
                    <xdr:row>30</xdr:row>
                    <xdr:rowOff>38100</xdr:rowOff>
                  </to>
                </anchor>
              </controlPr>
            </control>
          </mc:Choice>
        </mc:AlternateContent>
        <mc:AlternateContent xmlns:mc="http://schemas.openxmlformats.org/markup-compatibility/2006">
          <mc:Choice Requires="x14">
            <control shapeId="3076" r:id="rId15" name="Check Box 4">
              <controlPr defaultSize="0" autoFill="0" autoLine="0" autoPict="0">
                <anchor moveWithCells="1">
                  <from>
                    <xdr:col>11</xdr:col>
                    <xdr:colOff>190500</xdr:colOff>
                    <xdr:row>27</xdr:row>
                    <xdr:rowOff>190500</xdr:rowOff>
                  </from>
                  <to>
                    <xdr:col>11</xdr:col>
                    <xdr:colOff>393700</xdr:colOff>
                    <xdr:row>29</xdr:row>
                    <xdr:rowOff>38100</xdr:rowOff>
                  </to>
                </anchor>
              </controlPr>
            </control>
          </mc:Choice>
        </mc:AlternateContent>
        <mc:AlternateContent xmlns:mc="http://schemas.openxmlformats.org/markup-compatibility/2006">
          <mc:Choice Requires="x14">
            <control shapeId="3077" r:id="rId16" name="Check Box 5">
              <controlPr defaultSize="0" autoFill="0" autoLine="0" autoPict="0">
                <anchor moveWithCells="1">
                  <from>
                    <xdr:col>11</xdr:col>
                    <xdr:colOff>190500</xdr:colOff>
                    <xdr:row>28</xdr:row>
                    <xdr:rowOff>184150</xdr:rowOff>
                  </from>
                  <to>
                    <xdr:col>11</xdr:col>
                    <xdr:colOff>393700</xdr:colOff>
                    <xdr:row>30</xdr:row>
                    <xdr:rowOff>19050</xdr:rowOff>
                  </to>
                </anchor>
              </controlPr>
            </control>
          </mc:Choice>
        </mc:AlternateContent>
        <mc:AlternateContent xmlns:mc="http://schemas.openxmlformats.org/markup-compatibility/2006">
          <mc:Choice Requires="x14">
            <control shapeId="3078" r:id="rId17" name="Check Box 6">
              <controlPr defaultSize="0" autoFill="0" autoLine="0" autoPict="0">
                <anchor moveWithCells="1">
                  <from>
                    <xdr:col>11</xdr:col>
                    <xdr:colOff>184150</xdr:colOff>
                    <xdr:row>36</xdr:row>
                    <xdr:rowOff>190500</xdr:rowOff>
                  </from>
                  <to>
                    <xdr:col>11</xdr:col>
                    <xdr:colOff>381000</xdr:colOff>
                    <xdr:row>38</xdr:row>
                    <xdr:rowOff>12700</xdr:rowOff>
                  </to>
                </anchor>
              </controlPr>
            </control>
          </mc:Choice>
        </mc:AlternateContent>
        <mc:AlternateContent xmlns:mc="http://schemas.openxmlformats.org/markup-compatibility/2006">
          <mc:Choice Requires="x14">
            <control shapeId="3111" r:id="rId18" name="Check Box 39">
              <controlPr defaultSize="0" autoFill="0" autoLine="0" autoPict="0">
                <anchor moveWithCells="1">
                  <from>
                    <xdr:col>8</xdr:col>
                    <xdr:colOff>457200</xdr:colOff>
                    <xdr:row>27</xdr:row>
                    <xdr:rowOff>184150</xdr:rowOff>
                  </from>
                  <to>
                    <xdr:col>8</xdr:col>
                    <xdr:colOff>660400</xdr:colOff>
                    <xdr:row>29</xdr:row>
                    <xdr:rowOff>19050</xdr:rowOff>
                  </to>
                </anchor>
              </controlPr>
            </control>
          </mc:Choice>
        </mc:AlternateContent>
        <mc:AlternateContent xmlns:mc="http://schemas.openxmlformats.org/markup-compatibility/2006">
          <mc:Choice Requires="x14">
            <control shapeId="3112" r:id="rId19" name="Check Box 40">
              <controlPr defaultSize="0" autoFill="0" autoLine="0" autoPict="0">
                <anchor moveWithCells="1">
                  <from>
                    <xdr:col>8</xdr:col>
                    <xdr:colOff>457200</xdr:colOff>
                    <xdr:row>36</xdr:row>
                    <xdr:rowOff>203200</xdr:rowOff>
                  </from>
                  <to>
                    <xdr:col>8</xdr:col>
                    <xdr:colOff>660400</xdr:colOff>
                    <xdr:row>38</xdr:row>
                    <xdr:rowOff>19050</xdr:rowOff>
                  </to>
                </anchor>
              </controlPr>
            </control>
          </mc:Choice>
        </mc:AlternateContent>
        <mc:AlternateContent xmlns:mc="http://schemas.openxmlformats.org/markup-compatibility/2006">
          <mc:Choice Requires="x14">
            <control shapeId="3113" r:id="rId20" name="Check Box 41">
              <controlPr defaultSize="0" autoFill="0" autoLine="0" autoPict="0">
                <anchor moveWithCells="1">
                  <from>
                    <xdr:col>8</xdr:col>
                    <xdr:colOff>457200</xdr:colOff>
                    <xdr:row>28</xdr:row>
                    <xdr:rowOff>190500</xdr:rowOff>
                  </from>
                  <to>
                    <xdr:col>8</xdr:col>
                    <xdr:colOff>660400</xdr:colOff>
                    <xdr:row>30</xdr:row>
                    <xdr:rowOff>38100</xdr:rowOff>
                  </to>
                </anchor>
              </controlPr>
            </control>
          </mc:Choice>
        </mc:AlternateContent>
        <mc:AlternateContent xmlns:mc="http://schemas.openxmlformats.org/markup-compatibility/2006">
          <mc:Choice Requires="x14">
            <control shapeId="3114" r:id="rId21" name="Check Box 42">
              <controlPr defaultSize="0" autoFill="0" autoLine="0" autoPict="0">
                <anchor moveWithCells="1">
                  <from>
                    <xdr:col>11</xdr:col>
                    <xdr:colOff>190500</xdr:colOff>
                    <xdr:row>27</xdr:row>
                    <xdr:rowOff>190500</xdr:rowOff>
                  </from>
                  <to>
                    <xdr:col>11</xdr:col>
                    <xdr:colOff>393700</xdr:colOff>
                    <xdr:row>29</xdr:row>
                    <xdr:rowOff>38100</xdr:rowOff>
                  </to>
                </anchor>
              </controlPr>
            </control>
          </mc:Choice>
        </mc:AlternateContent>
        <mc:AlternateContent xmlns:mc="http://schemas.openxmlformats.org/markup-compatibility/2006">
          <mc:Choice Requires="x14">
            <control shapeId="3115" r:id="rId22" name="Check Box 43">
              <controlPr defaultSize="0" autoFill="0" autoLine="0" autoPict="0">
                <anchor moveWithCells="1">
                  <from>
                    <xdr:col>11</xdr:col>
                    <xdr:colOff>190500</xdr:colOff>
                    <xdr:row>28</xdr:row>
                    <xdr:rowOff>184150</xdr:rowOff>
                  </from>
                  <to>
                    <xdr:col>11</xdr:col>
                    <xdr:colOff>393700</xdr:colOff>
                    <xdr:row>30</xdr:row>
                    <xdr:rowOff>19050</xdr:rowOff>
                  </to>
                </anchor>
              </controlPr>
            </control>
          </mc:Choice>
        </mc:AlternateContent>
        <mc:AlternateContent xmlns:mc="http://schemas.openxmlformats.org/markup-compatibility/2006">
          <mc:Choice Requires="x14">
            <control shapeId="3116" r:id="rId23" name="Check Box 44">
              <controlPr defaultSize="0" autoFill="0" autoLine="0" autoPict="0">
                <anchor moveWithCells="1">
                  <from>
                    <xdr:col>11</xdr:col>
                    <xdr:colOff>184150</xdr:colOff>
                    <xdr:row>36</xdr:row>
                    <xdr:rowOff>190500</xdr:rowOff>
                  </from>
                  <to>
                    <xdr:col>11</xdr:col>
                    <xdr:colOff>381000</xdr:colOff>
                    <xdr:row>38</xdr:row>
                    <xdr:rowOff>12700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theme="4" tint="-0.499984740745262"/>
    <pageSetUpPr fitToPage="1"/>
  </sheetPr>
  <dimension ref="A1:AC91"/>
  <sheetViews>
    <sheetView showGridLines="0" zoomScale="70" zoomScaleNormal="70" workbookViewId="0"/>
  </sheetViews>
  <sheetFormatPr defaultRowHeight="17"/>
  <cols>
    <col min="1" max="1" width="1.25" style="215" customWidth="1"/>
    <col min="2" max="2" width="18" style="98" customWidth="1"/>
    <col min="3" max="3" width="14.6640625" style="98" customWidth="1"/>
    <col min="4" max="5" width="9" style="98"/>
    <col min="6" max="6" width="13.75" style="98" customWidth="1"/>
    <col min="7" max="7" width="11.75" style="98" customWidth="1"/>
    <col min="8" max="8" width="9" style="98" customWidth="1"/>
    <col min="9" max="10" width="10.25" style="98" customWidth="1"/>
    <col min="11" max="11" width="16" style="98" customWidth="1"/>
    <col min="12" max="12" width="4.6640625" style="196" customWidth="1"/>
    <col min="13" max="13" width="14" style="98" customWidth="1"/>
    <col min="14" max="15" width="9.25" style="98" customWidth="1"/>
    <col min="16" max="22" width="9" style="98"/>
    <col min="23" max="23" width="15.9140625" customWidth="1"/>
    <col min="24" max="24" width="15.25" customWidth="1"/>
    <col min="25" max="25" width="11.08203125" customWidth="1"/>
    <col min="26" max="26" width="17.4140625" customWidth="1"/>
    <col min="27" max="27" width="15" customWidth="1"/>
    <col min="28" max="28" width="7.9140625" customWidth="1"/>
    <col min="29" max="29" width="22.75" customWidth="1"/>
    <col min="30" max="240" width="9" style="98"/>
    <col min="241" max="241" width="4.33203125" style="98" customWidth="1"/>
    <col min="242" max="242" width="18" style="98" customWidth="1"/>
    <col min="243" max="243" width="14.6640625" style="98" customWidth="1"/>
    <col min="244" max="245" width="9" style="98"/>
    <col min="246" max="246" width="13.75" style="98" customWidth="1"/>
    <col min="247" max="247" width="11.75" style="98" customWidth="1"/>
    <col min="248" max="248" width="9" style="98" customWidth="1"/>
    <col min="249" max="250" width="10.25" style="98" customWidth="1"/>
    <col min="251" max="251" width="16" style="98" customWidth="1"/>
    <col min="252" max="252" width="7.4140625" style="98" customWidth="1"/>
    <col min="253" max="253" width="14" style="98" customWidth="1"/>
    <col min="254" max="255" width="9.25" style="98" customWidth="1"/>
    <col min="256" max="496" width="9" style="98"/>
    <col min="497" max="497" width="4.33203125" style="98" customWidth="1"/>
    <col min="498" max="498" width="18" style="98" customWidth="1"/>
    <col min="499" max="499" width="14.6640625" style="98" customWidth="1"/>
    <col min="500" max="501" width="9" style="98"/>
    <col min="502" max="502" width="13.75" style="98" customWidth="1"/>
    <col min="503" max="503" width="11.75" style="98" customWidth="1"/>
    <col min="504" max="504" width="9" style="98" customWidth="1"/>
    <col min="505" max="506" width="10.25" style="98" customWidth="1"/>
    <col min="507" max="507" width="16" style="98" customWidth="1"/>
    <col min="508" max="508" width="7.4140625" style="98" customWidth="1"/>
    <col min="509" max="509" width="14" style="98" customWidth="1"/>
    <col min="510" max="511" width="9.25" style="98" customWidth="1"/>
    <col min="512" max="752" width="9" style="98"/>
    <col min="753" max="753" width="4.33203125" style="98" customWidth="1"/>
    <col min="754" max="754" width="18" style="98" customWidth="1"/>
    <col min="755" max="755" width="14.6640625" style="98" customWidth="1"/>
    <col min="756" max="757" width="9" style="98"/>
    <col min="758" max="758" width="13.75" style="98" customWidth="1"/>
    <col min="759" max="759" width="11.75" style="98" customWidth="1"/>
    <col min="760" max="760" width="9" style="98" customWidth="1"/>
    <col min="761" max="762" width="10.25" style="98" customWidth="1"/>
    <col min="763" max="763" width="16" style="98" customWidth="1"/>
    <col min="764" max="764" width="7.4140625" style="98" customWidth="1"/>
    <col min="765" max="765" width="14" style="98" customWidth="1"/>
    <col min="766" max="767" width="9.25" style="98" customWidth="1"/>
    <col min="768" max="1008" width="9" style="98"/>
    <col min="1009" max="1009" width="4.33203125" style="98" customWidth="1"/>
    <col min="1010" max="1010" width="18" style="98" customWidth="1"/>
    <col min="1011" max="1011" width="14.6640625" style="98" customWidth="1"/>
    <col min="1012" max="1013" width="9" style="98"/>
    <col min="1014" max="1014" width="13.75" style="98" customWidth="1"/>
    <col min="1015" max="1015" width="11.75" style="98" customWidth="1"/>
    <col min="1016" max="1016" width="9" style="98" customWidth="1"/>
    <col min="1017" max="1018" width="10.25" style="98" customWidth="1"/>
    <col min="1019" max="1019" width="16" style="98" customWidth="1"/>
    <col min="1020" max="1020" width="7.4140625" style="98" customWidth="1"/>
    <col min="1021" max="1021" width="14" style="98" customWidth="1"/>
    <col min="1022" max="1023" width="9.25" style="98" customWidth="1"/>
    <col min="1024" max="1264" width="9" style="98"/>
    <col min="1265" max="1265" width="4.33203125" style="98" customWidth="1"/>
    <col min="1266" max="1266" width="18" style="98" customWidth="1"/>
    <col min="1267" max="1267" width="14.6640625" style="98" customWidth="1"/>
    <col min="1268" max="1269" width="9" style="98"/>
    <col min="1270" max="1270" width="13.75" style="98" customWidth="1"/>
    <col min="1271" max="1271" width="11.75" style="98" customWidth="1"/>
    <col min="1272" max="1272" width="9" style="98" customWidth="1"/>
    <col min="1273" max="1274" width="10.25" style="98" customWidth="1"/>
    <col min="1275" max="1275" width="16" style="98" customWidth="1"/>
    <col min="1276" max="1276" width="7.4140625" style="98" customWidth="1"/>
    <col min="1277" max="1277" width="14" style="98" customWidth="1"/>
    <col min="1278" max="1279" width="9.25" style="98" customWidth="1"/>
    <col min="1280" max="1520" width="9" style="98"/>
    <col min="1521" max="1521" width="4.33203125" style="98" customWidth="1"/>
    <col min="1522" max="1522" width="18" style="98" customWidth="1"/>
    <col min="1523" max="1523" width="14.6640625" style="98" customWidth="1"/>
    <col min="1524" max="1525" width="9" style="98"/>
    <col min="1526" max="1526" width="13.75" style="98" customWidth="1"/>
    <col min="1527" max="1527" width="11.75" style="98" customWidth="1"/>
    <col min="1528" max="1528" width="9" style="98" customWidth="1"/>
    <col min="1529" max="1530" width="10.25" style="98" customWidth="1"/>
    <col min="1531" max="1531" width="16" style="98" customWidth="1"/>
    <col min="1532" max="1532" width="7.4140625" style="98" customWidth="1"/>
    <col min="1533" max="1533" width="14" style="98" customWidth="1"/>
    <col min="1534" max="1535" width="9.25" style="98" customWidth="1"/>
    <col min="1536" max="1776" width="9" style="98"/>
    <col min="1777" max="1777" width="4.33203125" style="98" customWidth="1"/>
    <col min="1778" max="1778" width="18" style="98" customWidth="1"/>
    <col min="1779" max="1779" width="14.6640625" style="98" customWidth="1"/>
    <col min="1780" max="1781" width="9" style="98"/>
    <col min="1782" max="1782" width="13.75" style="98" customWidth="1"/>
    <col min="1783" max="1783" width="11.75" style="98" customWidth="1"/>
    <col min="1784" max="1784" width="9" style="98" customWidth="1"/>
    <col min="1785" max="1786" width="10.25" style="98" customWidth="1"/>
    <col min="1787" max="1787" width="16" style="98" customWidth="1"/>
    <col min="1788" max="1788" width="7.4140625" style="98" customWidth="1"/>
    <col min="1789" max="1789" width="14" style="98" customWidth="1"/>
    <col min="1790" max="1791" width="9.25" style="98" customWidth="1"/>
    <col min="1792" max="2032" width="9" style="98"/>
    <col min="2033" max="2033" width="4.33203125" style="98" customWidth="1"/>
    <col min="2034" max="2034" width="18" style="98" customWidth="1"/>
    <col min="2035" max="2035" width="14.6640625" style="98" customWidth="1"/>
    <col min="2036" max="2037" width="9" style="98"/>
    <col min="2038" max="2038" width="13.75" style="98" customWidth="1"/>
    <col min="2039" max="2039" width="11.75" style="98" customWidth="1"/>
    <col min="2040" max="2040" width="9" style="98" customWidth="1"/>
    <col min="2041" max="2042" width="10.25" style="98" customWidth="1"/>
    <col min="2043" max="2043" width="16" style="98" customWidth="1"/>
    <col min="2044" max="2044" width="7.4140625" style="98" customWidth="1"/>
    <col min="2045" max="2045" width="14" style="98" customWidth="1"/>
    <col min="2046" max="2047" width="9.25" style="98" customWidth="1"/>
    <col min="2048" max="2288" width="9" style="98"/>
    <col min="2289" max="2289" width="4.33203125" style="98" customWidth="1"/>
    <col min="2290" max="2290" width="18" style="98" customWidth="1"/>
    <col min="2291" max="2291" width="14.6640625" style="98" customWidth="1"/>
    <col min="2292" max="2293" width="9" style="98"/>
    <col min="2294" max="2294" width="13.75" style="98" customWidth="1"/>
    <col min="2295" max="2295" width="11.75" style="98" customWidth="1"/>
    <col min="2296" max="2296" width="9" style="98" customWidth="1"/>
    <col min="2297" max="2298" width="10.25" style="98" customWidth="1"/>
    <col min="2299" max="2299" width="16" style="98" customWidth="1"/>
    <col min="2300" max="2300" width="7.4140625" style="98" customWidth="1"/>
    <col min="2301" max="2301" width="14" style="98" customWidth="1"/>
    <col min="2302" max="2303" width="9.25" style="98" customWidth="1"/>
    <col min="2304" max="2544" width="9" style="98"/>
    <col min="2545" max="2545" width="4.33203125" style="98" customWidth="1"/>
    <col min="2546" max="2546" width="18" style="98" customWidth="1"/>
    <col min="2547" max="2547" width="14.6640625" style="98" customWidth="1"/>
    <col min="2548" max="2549" width="9" style="98"/>
    <col min="2550" max="2550" width="13.75" style="98" customWidth="1"/>
    <col min="2551" max="2551" width="11.75" style="98" customWidth="1"/>
    <col min="2552" max="2552" width="9" style="98" customWidth="1"/>
    <col min="2553" max="2554" width="10.25" style="98" customWidth="1"/>
    <col min="2555" max="2555" width="16" style="98" customWidth="1"/>
    <col min="2556" max="2556" width="7.4140625" style="98" customWidth="1"/>
    <col min="2557" max="2557" width="14" style="98" customWidth="1"/>
    <col min="2558" max="2559" width="9.25" style="98" customWidth="1"/>
    <col min="2560" max="2800" width="9" style="98"/>
    <col min="2801" max="2801" width="4.33203125" style="98" customWidth="1"/>
    <col min="2802" max="2802" width="18" style="98" customWidth="1"/>
    <col min="2803" max="2803" width="14.6640625" style="98" customWidth="1"/>
    <col min="2804" max="2805" width="9" style="98"/>
    <col min="2806" max="2806" width="13.75" style="98" customWidth="1"/>
    <col min="2807" max="2807" width="11.75" style="98" customWidth="1"/>
    <col min="2808" max="2808" width="9" style="98" customWidth="1"/>
    <col min="2809" max="2810" width="10.25" style="98" customWidth="1"/>
    <col min="2811" max="2811" width="16" style="98" customWidth="1"/>
    <col min="2812" max="2812" width="7.4140625" style="98" customWidth="1"/>
    <col min="2813" max="2813" width="14" style="98" customWidth="1"/>
    <col min="2814" max="2815" width="9.25" style="98" customWidth="1"/>
    <col min="2816" max="3056" width="9" style="98"/>
    <col min="3057" max="3057" width="4.33203125" style="98" customWidth="1"/>
    <col min="3058" max="3058" width="18" style="98" customWidth="1"/>
    <col min="3059" max="3059" width="14.6640625" style="98" customWidth="1"/>
    <col min="3060" max="3061" width="9" style="98"/>
    <col min="3062" max="3062" width="13.75" style="98" customWidth="1"/>
    <col min="3063" max="3063" width="11.75" style="98" customWidth="1"/>
    <col min="3064" max="3064" width="9" style="98" customWidth="1"/>
    <col min="3065" max="3066" width="10.25" style="98" customWidth="1"/>
    <col min="3067" max="3067" width="16" style="98" customWidth="1"/>
    <col min="3068" max="3068" width="7.4140625" style="98" customWidth="1"/>
    <col min="3069" max="3069" width="14" style="98" customWidth="1"/>
    <col min="3070" max="3071" width="9.25" style="98" customWidth="1"/>
    <col min="3072" max="3312" width="9" style="98"/>
    <col min="3313" max="3313" width="4.33203125" style="98" customWidth="1"/>
    <col min="3314" max="3314" width="18" style="98" customWidth="1"/>
    <col min="3315" max="3315" width="14.6640625" style="98" customWidth="1"/>
    <col min="3316" max="3317" width="9" style="98"/>
    <col min="3318" max="3318" width="13.75" style="98" customWidth="1"/>
    <col min="3319" max="3319" width="11.75" style="98" customWidth="1"/>
    <col min="3320" max="3320" width="9" style="98" customWidth="1"/>
    <col min="3321" max="3322" width="10.25" style="98" customWidth="1"/>
    <col min="3323" max="3323" width="16" style="98" customWidth="1"/>
    <col min="3324" max="3324" width="7.4140625" style="98" customWidth="1"/>
    <col min="3325" max="3325" width="14" style="98" customWidth="1"/>
    <col min="3326" max="3327" width="9.25" style="98" customWidth="1"/>
    <col min="3328" max="3568" width="9" style="98"/>
    <col min="3569" max="3569" width="4.33203125" style="98" customWidth="1"/>
    <col min="3570" max="3570" width="18" style="98" customWidth="1"/>
    <col min="3571" max="3571" width="14.6640625" style="98" customWidth="1"/>
    <col min="3572" max="3573" width="9" style="98"/>
    <col min="3574" max="3574" width="13.75" style="98" customWidth="1"/>
    <col min="3575" max="3575" width="11.75" style="98" customWidth="1"/>
    <col min="3576" max="3576" width="9" style="98" customWidth="1"/>
    <col min="3577" max="3578" width="10.25" style="98" customWidth="1"/>
    <col min="3579" max="3579" width="16" style="98" customWidth="1"/>
    <col min="3580" max="3580" width="7.4140625" style="98" customWidth="1"/>
    <col min="3581" max="3581" width="14" style="98" customWidth="1"/>
    <col min="3582" max="3583" width="9.25" style="98" customWidth="1"/>
    <col min="3584" max="3824" width="9" style="98"/>
    <col min="3825" max="3825" width="4.33203125" style="98" customWidth="1"/>
    <col min="3826" max="3826" width="18" style="98" customWidth="1"/>
    <col min="3827" max="3827" width="14.6640625" style="98" customWidth="1"/>
    <col min="3828" max="3829" width="9" style="98"/>
    <col min="3830" max="3830" width="13.75" style="98" customWidth="1"/>
    <col min="3831" max="3831" width="11.75" style="98" customWidth="1"/>
    <col min="3832" max="3832" width="9" style="98" customWidth="1"/>
    <col min="3833" max="3834" width="10.25" style="98" customWidth="1"/>
    <col min="3835" max="3835" width="16" style="98" customWidth="1"/>
    <col min="3836" max="3836" width="7.4140625" style="98" customWidth="1"/>
    <col min="3837" max="3837" width="14" style="98" customWidth="1"/>
    <col min="3838" max="3839" width="9.25" style="98" customWidth="1"/>
    <col min="3840" max="4080" width="9" style="98"/>
    <col min="4081" max="4081" width="4.33203125" style="98" customWidth="1"/>
    <col min="4082" max="4082" width="18" style="98" customWidth="1"/>
    <col min="4083" max="4083" width="14.6640625" style="98" customWidth="1"/>
    <col min="4084" max="4085" width="9" style="98"/>
    <col min="4086" max="4086" width="13.75" style="98" customWidth="1"/>
    <col min="4087" max="4087" width="11.75" style="98" customWidth="1"/>
    <col min="4088" max="4088" width="9" style="98" customWidth="1"/>
    <col min="4089" max="4090" width="10.25" style="98" customWidth="1"/>
    <col min="4091" max="4091" width="16" style="98" customWidth="1"/>
    <col min="4092" max="4092" width="7.4140625" style="98" customWidth="1"/>
    <col min="4093" max="4093" width="14" style="98" customWidth="1"/>
    <col min="4094" max="4095" width="9.25" style="98" customWidth="1"/>
    <col min="4096" max="4336" width="9" style="98"/>
    <col min="4337" max="4337" width="4.33203125" style="98" customWidth="1"/>
    <col min="4338" max="4338" width="18" style="98" customWidth="1"/>
    <col min="4339" max="4339" width="14.6640625" style="98" customWidth="1"/>
    <col min="4340" max="4341" width="9" style="98"/>
    <col min="4342" max="4342" width="13.75" style="98" customWidth="1"/>
    <col min="4343" max="4343" width="11.75" style="98" customWidth="1"/>
    <col min="4344" max="4344" width="9" style="98" customWidth="1"/>
    <col min="4345" max="4346" width="10.25" style="98" customWidth="1"/>
    <col min="4347" max="4347" width="16" style="98" customWidth="1"/>
    <col min="4348" max="4348" width="7.4140625" style="98" customWidth="1"/>
    <col min="4349" max="4349" width="14" style="98" customWidth="1"/>
    <col min="4350" max="4351" width="9.25" style="98" customWidth="1"/>
    <col min="4352" max="4592" width="9" style="98"/>
    <col min="4593" max="4593" width="4.33203125" style="98" customWidth="1"/>
    <col min="4594" max="4594" width="18" style="98" customWidth="1"/>
    <col min="4595" max="4595" width="14.6640625" style="98" customWidth="1"/>
    <col min="4596" max="4597" width="9" style="98"/>
    <col min="4598" max="4598" width="13.75" style="98" customWidth="1"/>
    <col min="4599" max="4599" width="11.75" style="98" customWidth="1"/>
    <col min="4600" max="4600" width="9" style="98" customWidth="1"/>
    <col min="4601" max="4602" width="10.25" style="98" customWidth="1"/>
    <col min="4603" max="4603" width="16" style="98" customWidth="1"/>
    <col min="4604" max="4604" width="7.4140625" style="98" customWidth="1"/>
    <col min="4605" max="4605" width="14" style="98" customWidth="1"/>
    <col min="4606" max="4607" width="9.25" style="98" customWidth="1"/>
    <col min="4608" max="4848" width="9" style="98"/>
    <col min="4849" max="4849" width="4.33203125" style="98" customWidth="1"/>
    <col min="4850" max="4850" width="18" style="98" customWidth="1"/>
    <col min="4851" max="4851" width="14.6640625" style="98" customWidth="1"/>
    <col min="4852" max="4853" width="9" style="98"/>
    <col min="4854" max="4854" width="13.75" style="98" customWidth="1"/>
    <col min="4855" max="4855" width="11.75" style="98" customWidth="1"/>
    <col min="4856" max="4856" width="9" style="98" customWidth="1"/>
    <col min="4857" max="4858" width="10.25" style="98" customWidth="1"/>
    <col min="4859" max="4859" width="16" style="98" customWidth="1"/>
    <col min="4860" max="4860" width="7.4140625" style="98" customWidth="1"/>
    <col min="4861" max="4861" width="14" style="98" customWidth="1"/>
    <col min="4862" max="4863" width="9.25" style="98" customWidth="1"/>
    <col min="4864" max="5104" width="9" style="98"/>
    <col min="5105" max="5105" width="4.33203125" style="98" customWidth="1"/>
    <col min="5106" max="5106" width="18" style="98" customWidth="1"/>
    <col min="5107" max="5107" width="14.6640625" style="98" customWidth="1"/>
    <col min="5108" max="5109" width="9" style="98"/>
    <col min="5110" max="5110" width="13.75" style="98" customWidth="1"/>
    <col min="5111" max="5111" width="11.75" style="98" customWidth="1"/>
    <col min="5112" max="5112" width="9" style="98" customWidth="1"/>
    <col min="5113" max="5114" width="10.25" style="98" customWidth="1"/>
    <col min="5115" max="5115" width="16" style="98" customWidth="1"/>
    <col min="5116" max="5116" width="7.4140625" style="98" customWidth="1"/>
    <col min="5117" max="5117" width="14" style="98" customWidth="1"/>
    <col min="5118" max="5119" width="9.25" style="98" customWidth="1"/>
    <col min="5120" max="5360" width="9" style="98"/>
    <col min="5361" max="5361" width="4.33203125" style="98" customWidth="1"/>
    <col min="5362" max="5362" width="18" style="98" customWidth="1"/>
    <col min="5363" max="5363" width="14.6640625" style="98" customWidth="1"/>
    <col min="5364" max="5365" width="9" style="98"/>
    <col min="5366" max="5366" width="13.75" style="98" customWidth="1"/>
    <col min="5367" max="5367" width="11.75" style="98" customWidth="1"/>
    <col min="5368" max="5368" width="9" style="98" customWidth="1"/>
    <col min="5369" max="5370" width="10.25" style="98" customWidth="1"/>
    <col min="5371" max="5371" width="16" style="98" customWidth="1"/>
    <col min="5372" max="5372" width="7.4140625" style="98" customWidth="1"/>
    <col min="5373" max="5373" width="14" style="98" customWidth="1"/>
    <col min="5374" max="5375" width="9.25" style="98" customWidth="1"/>
    <col min="5376" max="5616" width="9" style="98"/>
    <col min="5617" max="5617" width="4.33203125" style="98" customWidth="1"/>
    <col min="5618" max="5618" width="18" style="98" customWidth="1"/>
    <col min="5619" max="5619" width="14.6640625" style="98" customWidth="1"/>
    <col min="5620" max="5621" width="9" style="98"/>
    <col min="5622" max="5622" width="13.75" style="98" customWidth="1"/>
    <col min="5623" max="5623" width="11.75" style="98" customWidth="1"/>
    <col min="5624" max="5624" width="9" style="98" customWidth="1"/>
    <col min="5625" max="5626" width="10.25" style="98" customWidth="1"/>
    <col min="5627" max="5627" width="16" style="98" customWidth="1"/>
    <col min="5628" max="5628" width="7.4140625" style="98" customWidth="1"/>
    <col min="5629" max="5629" width="14" style="98" customWidth="1"/>
    <col min="5630" max="5631" width="9.25" style="98" customWidth="1"/>
    <col min="5632" max="5872" width="9" style="98"/>
    <col min="5873" max="5873" width="4.33203125" style="98" customWidth="1"/>
    <col min="5874" max="5874" width="18" style="98" customWidth="1"/>
    <col min="5875" max="5875" width="14.6640625" style="98" customWidth="1"/>
    <col min="5876" max="5877" width="9" style="98"/>
    <col min="5878" max="5878" width="13.75" style="98" customWidth="1"/>
    <col min="5879" max="5879" width="11.75" style="98" customWidth="1"/>
    <col min="5880" max="5880" width="9" style="98" customWidth="1"/>
    <col min="5881" max="5882" width="10.25" style="98" customWidth="1"/>
    <col min="5883" max="5883" width="16" style="98" customWidth="1"/>
    <col min="5884" max="5884" width="7.4140625" style="98" customWidth="1"/>
    <col min="5885" max="5885" width="14" style="98" customWidth="1"/>
    <col min="5886" max="5887" width="9.25" style="98" customWidth="1"/>
    <col min="5888" max="6128" width="9" style="98"/>
    <col min="6129" max="6129" width="4.33203125" style="98" customWidth="1"/>
    <col min="6130" max="6130" width="18" style="98" customWidth="1"/>
    <col min="6131" max="6131" width="14.6640625" style="98" customWidth="1"/>
    <col min="6132" max="6133" width="9" style="98"/>
    <col min="6134" max="6134" width="13.75" style="98" customWidth="1"/>
    <col min="6135" max="6135" width="11.75" style="98" customWidth="1"/>
    <col min="6136" max="6136" width="9" style="98" customWidth="1"/>
    <col min="6137" max="6138" width="10.25" style="98" customWidth="1"/>
    <col min="6139" max="6139" width="16" style="98" customWidth="1"/>
    <col min="6140" max="6140" width="7.4140625" style="98" customWidth="1"/>
    <col min="6141" max="6141" width="14" style="98" customWidth="1"/>
    <col min="6142" max="6143" width="9.25" style="98" customWidth="1"/>
    <col min="6144" max="6384" width="9" style="98"/>
    <col min="6385" max="6385" width="4.33203125" style="98" customWidth="1"/>
    <col min="6386" max="6386" width="18" style="98" customWidth="1"/>
    <col min="6387" max="6387" width="14.6640625" style="98" customWidth="1"/>
    <col min="6388" max="6389" width="9" style="98"/>
    <col min="6390" max="6390" width="13.75" style="98" customWidth="1"/>
    <col min="6391" max="6391" width="11.75" style="98" customWidth="1"/>
    <col min="6392" max="6392" width="9" style="98" customWidth="1"/>
    <col min="6393" max="6394" width="10.25" style="98" customWidth="1"/>
    <col min="6395" max="6395" width="16" style="98" customWidth="1"/>
    <col min="6396" max="6396" width="7.4140625" style="98" customWidth="1"/>
    <col min="6397" max="6397" width="14" style="98" customWidth="1"/>
    <col min="6398" max="6399" width="9.25" style="98" customWidth="1"/>
    <col min="6400" max="6640" width="9" style="98"/>
    <col min="6641" max="6641" width="4.33203125" style="98" customWidth="1"/>
    <col min="6642" max="6642" width="18" style="98" customWidth="1"/>
    <col min="6643" max="6643" width="14.6640625" style="98" customWidth="1"/>
    <col min="6644" max="6645" width="9" style="98"/>
    <col min="6646" max="6646" width="13.75" style="98" customWidth="1"/>
    <col min="6647" max="6647" width="11.75" style="98" customWidth="1"/>
    <col min="6648" max="6648" width="9" style="98" customWidth="1"/>
    <col min="6649" max="6650" width="10.25" style="98" customWidth="1"/>
    <col min="6651" max="6651" width="16" style="98" customWidth="1"/>
    <col min="6652" max="6652" width="7.4140625" style="98" customWidth="1"/>
    <col min="6653" max="6653" width="14" style="98" customWidth="1"/>
    <col min="6654" max="6655" width="9.25" style="98" customWidth="1"/>
    <col min="6656" max="6896" width="9" style="98"/>
    <col min="6897" max="6897" width="4.33203125" style="98" customWidth="1"/>
    <col min="6898" max="6898" width="18" style="98" customWidth="1"/>
    <col min="6899" max="6899" width="14.6640625" style="98" customWidth="1"/>
    <col min="6900" max="6901" width="9" style="98"/>
    <col min="6902" max="6902" width="13.75" style="98" customWidth="1"/>
    <col min="6903" max="6903" width="11.75" style="98" customWidth="1"/>
    <col min="6904" max="6904" width="9" style="98" customWidth="1"/>
    <col min="6905" max="6906" width="10.25" style="98" customWidth="1"/>
    <col min="6907" max="6907" width="16" style="98" customWidth="1"/>
    <col min="6908" max="6908" width="7.4140625" style="98" customWidth="1"/>
    <col min="6909" max="6909" width="14" style="98" customWidth="1"/>
    <col min="6910" max="6911" width="9.25" style="98" customWidth="1"/>
    <col min="6912" max="7152" width="9" style="98"/>
    <col min="7153" max="7153" width="4.33203125" style="98" customWidth="1"/>
    <col min="7154" max="7154" width="18" style="98" customWidth="1"/>
    <col min="7155" max="7155" width="14.6640625" style="98" customWidth="1"/>
    <col min="7156" max="7157" width="9" style="98"/>
    <col min="7158" max="7158" width="13.75" style="98" customWidth="1"/>
    <col min="7159" max="7159" width="11.75" style="98" customWidth="1"/>
    <col min="7160" max="7160" width="9" style="98" customWidth="1"/>
    <col min="7161" max="7162" width="10.25" style="98" customWidth="1"/>
    <col min="7163" max="7163" width="16" style="98" customWidth="1"/>
    <col min="7164" max="7164" width="7.4140625" style="98" customWidth="1"/>
    <col min="7165" max="7165" width="14" style="98" customWidth="1"/>
    <col min="7166" max="7167" width="9.25" style="98" customWidth="1"/>
    <col min="7168" max="7408" width="9" style="98"/>
    <col min="7409" max="7409" width="4.33203125" style="98" customWidth="1"/>
    <col min="7410" max="7410" width="18" style="98" customWidth="1"/>
    <col min="7411" max="7411" width="14.6640625" style="98" customWidth="1"/>
    <col min="7412" max="7413" width="9" style="98"/>
    <col min="7414" max="7414" width="13.75" style="98" customWidth="1"/>
    <col min="7415" max="7415" width="11.75" style="98" customWidth="1"/>
    <col min="7416" max="7416" width="9" style="98" customWidth="1"/>
    <col min="7417" max="7418" width="10.25" style="98" customWidth="1"/>
    <col min="7419" max="7419" width="16" style="98" customWidth="1"/>
    <col min="7420" max="7420" width="7.4140625" style="98" customWidth="1"/>
    <col min="7421" max="7421" width="14" style="98" customWidth="1"/>
    <col min="7422" max="7423" width="9.25" style="98" customWidth="1"/>
    <col min="7424" max="7664" width="9" style="98"/>
    <col min="7665" max="7665" width="4.33203125" style="98" customWidth="1"/>
    <col min="7666" max="7666" width="18" style="98" customWidth="1"/>
    <col min="7667" max="7667" width="14.6640625" style="98" customWidth="1"/>
    <col min="7668" max="7669" width="9" style="98"/>
    <col min="7670" max="7670" width="13.75" style="98" customWidth="1"/>
    <col min="7671" max="7671" width="11.75" style="98" customWidth="1"/>
    <col min="7672" max="7672" width="9" style="98" customWidth="1"/>
    <col min="7673" max="7674" width="10.25" style="98" customWidth="1"/>
    <col min="7675" max="7675" width="16" style="98" customWidth="1"/>
    <col min="7676" max="7676" width="7.4140625" style="98" customWidth="1"/>
    <col min="7677" max="7677" width="14" style="98" customWidth="1"/>
    <col min="7678" max="7679" width="9.25" style="98" customWidth="1"/>
    <col min="7680" max="7920" width="9" style="98"/>
    <col min="7921" max="7921" width="4.33203125" style="98" customWidth="1"/>
    <col min="7922" max="7922" width="18" style="98" customWidth="1"/>
    <col min="7923" max="7923" width="14.6640625" style="98" customWidth="1"/>
    <col min="7924" max="7925" width="9" style="98"/>
    <col min="7926" max="7926" width="13.75" style="98" customWidth="1"/>
    <col min="7927" max="7927" width="11.75" style="98" customWidth="1"/>
    <col min="7928" max="7928" width="9" style="98" customWidth="1"/>
    <col min="7929" max="7930" width="10.25" style="98" customWidth="1"/>
    <col min="7931" max="7931" width="16" style="98" customWidth="1"/>
    <col min="7932" max="7932" width="7.4140625" style="98" customWidth="1"/>
    <col min="7933" max="7933" width="14" style="98" customWidth="1"/>
    <col min="7934" max="7935" width="9.25" style="98" customWidth="1"/>
    <col min="7936" max="8176" width="9" style="98"/>
    <col min="8177" max="8177" width="4.33203125" style="98" customWidth="1"/>
    <col min="8178" max="8178" width="18" style="98" customWidth="1"/>
    <col min="8179" max="8179" width="14.6640625" style="98" customWidth="1"/>
    <col min="8180" max="8181" width="9" style="98"/>
    <col min="8182" max="8182" width="13.75" style="98" customWidth="1"/>
    <col min="8183" max="8183" width="11.75" style="98" customWidth="1"/>
    <col min="8184" max="8184" width="9" style="98" customWidth="1"/>
    <col min="8185" max="8186" width="10.25" style="98" customWidth="1"/>
    <col min="8187" max="8187" width="16" style="98" customWidth="1"/>
    <col min="8188" max="8188" width="7.4140625" style="98" customWidth="1"/>
    <col min="8189" max="8189" width="14" style="98" customWidth="1"/>
    <col min="8190" max="8191" width="9.25" style="98" customWidth="1"/>
    <col min="8192" max="8432" width="9" style="98"/>
    <col min="8433" max="8433" width="4.33203125" style="98" customWidth="1"/>
    <col min="8434" max="8434" width="18" style="98" customWidth="1"/>
    <col min="8435" max="8435" width="14.6640625" style="98" customWidth="1"/>
    <col min="8436" max="8437" width="9" style="98"/>
    <col min="8438" max="8438" width="13.75" style="98" customWidth="1"/>
    <col min="8439" max="8439" width="11.75" style="98" customWidth="1"/>
    <col min="8440" max="8440" width="9" style="98" customWidth="1"/>
    <col min="8441" max="8442" width="10.25" style="98" customWidth="1"/>
    <col min="8443" max="8443" width="16" style="98" customWidth="1"/>
    <col min="8444" max="8444" width="7.4140625" style="98" customWidth="1"/>
    <col min="8445" max="8445" width="14" style="98" customWidth="1"/>
    <col min="8446" max="8447" width="9.25" style="98" customWidth="1"/>
    <col min="8448" max="8688" width="9" style="98"/>
    <col min="8689" max="8689" width="4.33203125" style="98" customWidth="1"/>
    <col min="8690" max="8690" width="18" style="98" customWidth="1"/>
    <col min="8691" max="8691" width="14.6640625" style="98" customWidth="1"/>
    <col min="8692" max="8693" width="9" style="98"/>
    <col min="8694" max="8694" width="13.75" style="98" customWidth="1"/>
    <col min="8695" max="8695" width="11.75" style="98" customWidth="1"/>
    <col min="8696" max="8696" width="9" style="98" customWidth="1"/>
    <col min="8697" max="8698" width="10.25" style="98" customWidth="1"/>
    <col min="8699" max="8699" width="16" style="98" customWidth="1"/>
    <col min="8700" max="8700" width="7.4140625" style="98" customWidth="1"/>
    <col min="8701" max="8701" width="14" style="98" customWidth="1"/>
    <col min="8702" max="8703" width="9.25" style="98" customWidth="1"/>
    <col min="8704" max="8944" width="9" style="98"/>
    <col min="8945" max="8945" width="4.33203125" style="98" customWidth="1"/>
    <col min="8946" max="8946" width="18" style="98" customWidth="1"/>
    <col min="8947" max="8947" width="14.6640625" style="98" customWidth="1"/>
    <col min="8948" max="8949" width="9" style="98"/>
    <col min="8950" max="8950" width="13.75" style="98" customWidth="1"/>
    <col min="8951" max="8951" width="11.75" style="98" customWidth="1"/>
    <col min="8952" max="8952" width="9" style="98" customWidth="1"/>
    <col min="8953" max="8954" width="10.25" style="98" customWidth="1"/>
    <col min="8955" max="8955" width="16" style="98" customWidth="1"/>
    <col min="8956" max="8956" width="7.4140625" style="98" customWidth="1"/>
    <col min="8957" max="8957" width="14" style="98" customWidth="1"/>
    <col min="8958" max="8959" width="9.25" style="98" customWidth="1"/>
    <col min="8960" max="9200" width="9" style="98"/>
    <col min="9201" max="9201" width="4.33203125" style="98" customWidth="1"/>
    <col min="9202" max="9202" width="18" style="98" customWidth="1"/>
    <col min="9203" max="9203" width="14.6640625" style="98" customWidth="1"/>
    <col min="9204" max="9205" width="9" style="98"/>
    <col min="9206" max="9206" width="13.75" style="98" customWidth="1"/>
    <col min="9207" max="9207" width="11.75" style="98" customWidth="1"/>
    <col min="9208" max="9208" width="9" style="98" customWidth="1"/>
    <col min="9209" max="9210" width="10.25" style="98" customWidth="1"/>
    <col min="9211" max="9211" width="16" style="98" customWidth="1"/>
    <col min="9212" max="9212" width="7.4140625" style="98" customWidth="1"/>
    <col min="9213" max="9213" width="14" style="98" customWidth="1"/>
    <col min="9214" max="9215" width="9.25" style="98" customWidth="1"/>
    <col min="9216" max="9456" width="9" style="98"/>
    <col min="9457" max="9457" width="4.33203125" style="98" customWidth="1"/>
    <col min="9458" max="9458" width="18" style="98" customWidth="1"/>
    <col min="9459" max="9459" width="14.6640625" style="98" customWidth="1"/>
    <col min="9460" max="9461" width="9" style="98"/>
    <col min="9462" max="9462" width="13.75" style="98" customWidth="1"/>
    <col min="9463" max="9463" width="11.75" style="98" customWidth="1"/>
    <col min="9464" max="9464" width="9" style="98" customWidth="1"/>
    <col min="9465" max="9466" width="10.25" style="98" customWidth="1"/>
    <col min="9467" max="9467" width="16" style="98" customWidth="1"/>
    <col min="9468" max="9468" width="7.4140625" style="98" customWidth="1"/>
    <col min="9469" max="9469" width="14" style="98" customWidth="1"/>
    <col min="9470" max="9471" width="9.25" style="98" customWidth="1"/>
    <col min="9472" max="9712" width="9" style="98"/>
    <col min="9713" max="9713" width="4.33203125" style="98" customWidth="1"/>
    <col min="9714" max="9714" width="18" style="98" customWidth="1"/>
    <col min="9715" max="9715" width="14.6640625" style="98" customWidth="1"/>
    <col min="9716" max="9717" width="9" style="98"/>
    <col min="9718" max="9718" width="13.75" style="98" customWidth="1"/>
    <col min="9719" max="9719" width="11.75" style="98" customWidth="1"/>
    <col min="9720" max="9720" width="9" style="98" customWidth="1"/>
    <col min="9721" max="9722" width="10.25" style="98" customWidth="1"/>
    <col min="9723" max="9723" width="16" style="98" customWidth="1"/>
    <col min="9724" max="9724" width="7.4140625" style="98" customWidth="1"/>
    <col min="9725" max="9725" width="14" style="98" customWidth="1"/>
    <col min="9726" max="9727" width="9.25" style="98" customWidth="1"/>
    <col min="9728" max="9968" width="9" style="98"/>
    <col min="9969" max="9969" width="4.33203125" style="98" customWidth="1"/>
    <col min="9970" max="9970" width="18" style="98" customWidth="1"/>
    <col min="9971" max="9971" width="14.6640625" style="98" customWidth="1"/>
    <col min="9972" max="9973" width="9" style="98"/>
    <col min="9974" max="9974" width="13.75" style="98" customWidth="1"/>
    <col min="9975" max="9975" width="11.75" style="98" customWidth="1"/>
    <col min="9976" max="9976" width="9" style="98" customWidth="1"/>
    <col min="9977" max="9978" width="10.25" style="98" customWidth="1"/>
    <col min="9979" max="9979" width="16" style="98" customWidth="1"/>
    <col min="9980" max="9980" width="7.4140625" style="98" customWidth="1"/>
    <col min="9981" max="9981" width="14" style="98" customWidth="1"/>
    <col min="9982" max="9983" width="9.25" style="98" customWidth="1"/>
    <col min="9984" max="10224" width="9" style="98"/>
    <col min="10225" max="10225" width="4.33203125" style="98" customWidth="1"/>
    <col min="10226" max="10226" width="18" style="98" customWidth="1"/>
    <col min="10227" max="10227" width="14.6640625" style="98" customWidth="1"/>
    <col min="10228" max="10229" width="9" style="98"/>
    <col min="10230" max="10230" width="13.75" style="98" customWidth="1"/>
    <col min="10231" max="10231" width="11.75" style="98" customWidth="1"/>
    <col min="10232" max="10232" width="9" style="98" customWidth="1"/>
    <col min="10233" max="10234" width="10.25" style="98" customWidth="1"/>
    <col min="10235" max="10235" width="16" style="98" customWidth="1"/>
    <col min="10236" max="10236" width="7.4140625" style="98" customWidth="1"/>
    <col min="10237" max="10237" width="14" style="98" customWidth="1"/>
    <col min="10238" max="10239" width="9.25" style="98" customWidth="1"/>
    <col min="10240" max="10480" width="9" style="98"/>
    <col min="10481" max="10481" width="4.33203125" style="98" customWidth="1"/>
    <col min="10482" max="10482" width="18" style="98" customWidth="1"/>
    <col min="10483" max="10483" width="14.6640625" style="98" customWidth="1"/>
    <col min="10484" max="10485" width="9" style="98"/>
    <col min="10486" max="10486" width="13.75" style="98" customWidth="1"/>
    <col min="10487" max="10487" width="11.75" style="98" customWidth="1"/>
    <col min="10488" max="10488" width="9" style="98" customWidth="1"/>
    <col min="10489" max="10490" width="10.25" style="98" customWidth="1"/>
    <col min="10491" max="10491" width="16" style="98" customWidth="1"/>
    <col min="10492" max="10492" width="7.4140625" style="98" customWidth="1"/>
    <col min="10493" max="10493" width="14" style="98" customWidth="1"/>
    <col min="10494" max="10495" width="9.25" style="98" customWidth="1"/>
    <col min="10496" max="10736" width="9" style="98"/>
    <col min="10737" max="10737" width="4.33203125" style="98" customWidth="1"/>
    <col min="10738" max="10738" width="18" style="98" customWidth="1"/>
    <col min="10739" max="10739" width="14.6640625" style="98" customWidth="1"/>
    <col min="10740" max="10741" width="9" style="98"/>
    <col min="10742" max="10742" width="13.75" style="98" customWidth="1"/>
    <col min="10743" max="10743" width="11.75" style="98" customWidth="1"/>
    <col min="10744" max="10744" width="9" style="98" customWidth="1"/>
    <col min="10745" max="10746" width="10.25" style="98" customWidth="1"/>
    <col min="10747" max="10747" width="16" style="98" customWidth="1"/>
    <col min="10748" max="10748" width="7.4140625" style="98" customWidth="1"/>
    <col min="10749" max="10749" width="14" style="98" customWidth="1"/>
    <col min="10750" max="10751" width="9.25" style="98" customWidth="1"/>
    <col min="10752" max="10992" width="9" style="98"/>
    <col min="10993" max="10993" width="4.33203125" style="98" customWidth="1"/>
    <col min="10994" max="10994" width="18" style="98" customWidth="1"/>
    <col min="10995" max="10995" width="14.6640625" style="98" customWidth="1"/>
    <col min="10996" max="10997" width="9" style="98"/>
    <col min="10998" max="10998" width="13.75" style="98" customWidth="1"/>
    <col min="10999" max="10999" width="11.75" style="98" customWidth="1"/>
    <col min="11000" max="11000" width="9" style="98" customWidth="1"/>
    <col min="11001" max="11002" width="10.25" style="98" customWidth="1"/>
    <col min="11003" max="11003" width="16" style="98" customWidth="1"/>
    <col min="11004" max="11004" width="7.4140625" style="98" customWidth="1"/>
    <col min="11005" max="11005" width="14" style="98" customWidth="1"/>
    <col min="11006" max="11007" width="9.25" style="98" customWidth="1"/>
    <col min="11008" max="11248" width="9" style="98"/>
    <col min="11249" max="11249" width="4.33203125" style="98" customWidth="1"/>
    <col min="11250" max="11250" width="18" style="98" customWidth="1"/>
    <col min="11251" max="11251" width="14.6640625" style="98" customWidth="1"/>
    <col min="11252" max="11253" width="9" style="98"/>
    <col min="11254" max="11254" width="13.75" style="98" customWidth="1"/>
    <col min="11255" max="11255" width="11.75" style="98" customWidth="1"/>
    <col min="11256" max="11256" width="9" style="98" customWidth="1"/>
    <col min="11257" max="11258" width="10.25" style="98" customWidth="1"/>
    <col min="11259" max="11259" width="16" style="98" customWidth="1"/>
    <col min="11260" max="11260" width="7.4140625" style="98" customWidth="1"/>
    <col min="11261" max="11261" width="14" style="98" customWidth="1"/>
    <col min="11262" max="11263" width="9.25" style="98" customWidth="1"/>
    <col min="11264" max="11504" width="9" style="98"/>
    <col min="11505" max="11505" width="4.33203125" style="98" customWidth="1"/>
    <col min="11506" max="11506" width="18" style="98" customWidth="1"/>
    <col min="11507" max="11507" width="14.6640625" style="98" customWidth="1"/>
    <col min="11508" max="11509" width="9" style="98"/>
    <col min="11510" max="11510" width="13.75" style="98" customWidth="1"/>
    <col min="11511" max="11511" width="11.75" style="98" customWidth="1"/>
    <col min="11512" max="11512" width="9" style="98" customWidth="1"/>
    <col min="11513" max="11514" width="10.25" style="98" customWidth="1"/>
    <col min="11515" max="11515" width="16" style="98" customWidth="1"/>
    <col min="11516" max="11516" width="7.4140625" style="98" customWidth="1"/>
    <col min="11517" max="11517" width="14" style="98" customWidth="1"/>
    <col min="11518" max="11519" width="9.25" style="98" customWidth="1"/>
    <col min="11520" max="11760" width="9" style="98"/>
    <col min="11761" max="11761" width="4.33203125" style="98" customWidth="1"/>
    <col min="11762" max="11762" width="18" style="98" customWidth="1"/>
    <col min="11763" max="11763" width="14.6640625" style="98" customWidth="1"/>
    <col min="11764" max="11765" width="9" style="98"/>
    <col min="11766" max="11766" width="13.75" style="98" customWidth="1"/>
    <col min="11767" max="11767" width="11.75" style="98" customWidth="1"/>
    <col min="11768" max="11768" width="9" style="98" customWidth="1"/>
    <col min="11769" max="11770" width="10.25" style="98" customWidth="1"/>
    <col min="11771" max="11771" width="16" style="98" customWidth="1"/>
    <col min="11772" max="11772" width="7.4140625" style="98" customWidth="1"/>
    <col min="11773" max="11773" width="14" style="98" customWidth="1"/>
    <col min="11774" max="11775" width="9.25" style="98" customWidth="1"/>
    <col min="11776" max="12016" width="9" style="98"/>
    <col min="12017" max="12017" width="4.33203125" style="98" customWidth="1"/>
    <col min="12018" max="12018" width="18" style="98" customWidth="1"/>
    <col min="12019" max="12019" width="14.6640625" style="98" customWidth="1"/>
    <col min="12020" max="12021" width="9" style="98"/>
    <col min="12022" max="12022" width="13.75" style="98" customWidth="1"/>
    <col min="12023" max="12023" width="11.75" style="98" customWidth="1"/>
    <col min="12024" max="12024" width="9" style="98" customWidth="1"/>
    <col min="12025" max="12026" width="10.25" style="98" customWidth="1"/>
    <col min="12027" max="12027" width="16" style="98" customWidth="1"/>
    <col min="12028" max="12028" width="7.4140625" style="98" customWidth="1"/>
    <col min="12029" max="12029" width="14" style="98" customWidth="1"/>
    <col min="12030" max="12031" width="9.25" style="98" customWidth="1"/>
    <col min="12032" max="12272" width="9" style="98"/>
    <col min="12273" max="12273" width="4.33203125" style="98" customWidth="1"/>
    <col min="12274" max="12274" width="18" style="98" customWidth="1"/>
    <col min="12275" max="12275" width="14.6640625" style="98" customWidth="1"/>
    <col min="12276" max="12277" width="9" style="98"/>
    <col min="12278" max="12278" width="13.75" style="98" customWidth="1"/>
    <col min="12279" max="12279" width="11.75" style="98" customWidth="1"/>
    <col min="12280" max="12280" width="9" style="98" customWidth="1"/>
    <col min="12281" max="12282" width="10.25" style="98" customWidth="1"/>
    <col min="12283" max="12283" width="16" style="98" customWidth="1"/>
    <col min="12284" max="12284" width="7.4140625" style="98" customWidth="1"/>
    <col min="12285" max="12285" width="14" style="98" customWidth="1"/>
    <col min="12286" max="12287" width="9.25" style="98" customWidth="1"/>
    <col min="12288" max="12528" width="9" style="98"/>
    <col min="12529" max="12529" width="4.33203125" style="98" customWidth="1"/>
    <col min="12530" max="12530" width="18" style="98" customWidth="1"/>
    <col min="12531" max="12531" width="14.6640625" style="98" customWidth="1"/>
    <col min="12532" max="12533" width="9" style="98"/>
    <col min="12534" max="12534" width="13.75" style="98" customWidth="1"/>
    <col min="12535" max="12535" width="11.75" style="98" customWidth="1"/>
    <col min="12536" max="12536" width="9" style="98" customWidth="1"/>
    <col min="12537" max="12538" width="10.25" style="98" customWidth="1"/>
    <col min="12539" max="12539" width="16" style="98" customWidth="1"/>
    <col min="12540" max="12540" width="7.4140625" style="98" customWidth="1"/>
    <col min="12541" max="12541" width="14" style="98" customWidth="1"/>
    <col min="12542" max="12543" width="9.25" style="98" customWidth="1"/>
    <col min="12544" max="12784" width="9" style="98"/>
    <col min="12785" max="12785" width="4.33203125" style="98" customWidth="1"/>
    <col min="12786" max="12786" width="18" style="98" customWidth="1"/>
    <col min="12787" max="12787" width="14.6640625" style="98" customWidth="1"/>
    <col min="12788" max="12789" width="9" style="98"/>
    <col min="12790" max="12790" width="13.75" style="98" customWidth="1"/>
    <col min="12791" max="12791" width="11.75" style="98" customWidth="1"/>
    <col min="12792" max="12792" width="9" style="98" customWidth="1"/>
    <col min="12793" max="12794" width="10.25" style="98" customWidth="1"/>
    <col min="12795" max="12795" width="16" style="98" customWidth="1"/>
    <col min="12796" max="12796" width="7.4140625" style="98" customWidth="1"/>
    <col min="12797" max="12797" width="14" style="98" customWidth="1"/>
    <col min="12798" max="12799" width="9.25" style="98" customWidth="1"/>
    <col min="12800" max="13040" width="9" style="98"/>
    <col min="13041" max="13041" width="4.33203125" style="98" customWidth="1"/>
    <col min="13042" max="13042" width="18" style="98" customWidth="1"/>
    <col min="13043" max="13043" width="14.6640625" style="98" customWidth="1"/>
    <col min="13044" max="13045" width="9" style="98"/>
    <col min="13046" max="13046" width="13.75" style="98" customWidth="1"/>
    <col min="13047" max="13047" width="11.75" style="98" customWidth="1"/>
    <col min="13048" max="13048" width="9" style="98" customWidth="1"/>
    <col min="13049" max="13050" width="10.25" style="98" customWidth="1"/>
    <col min="13051" max="13051" width="16" style="98" customWidth="1"/>
    <col min="13052" max="13052" width="7.4140625" style="98" customWidth="1"/>
    <col min="13053" max="13053" width="14" style="98" customWidth="1"/>
    <col min="13054" max="13055" width="9.25" style="98" customWidth="1"/>
    <col min="13056" max="13296" width="9" style="98"/>
    <col min="13297" max="13297" width="4.33203125" style="98" customWidth="1"/>
    <col min="13298" max="13298" width="18" style="98" customWidth="1"/>
    <col min="13299" max="13299" width="14.6640625" style="98" customWidth="1"/>
    <col min="13300" max="13301" width="9" style="98"/>
    <col min="13302" max="13302" width="13.75" style="98" customWidth="1"/>
    <col min="13303" max="13303" width="11.75" style="98" customWidth="1"/>
    <col min="13304" max="13304" width="9" style="98" customWidth="1"/>
    <col min="13305" max="13306" width="10.25" style="98" customWidth="1"/>
    <col min="13307" max="13307" width="16" style="98" customWidth="1"/>
    <col min="13308" max="13308" width="7.4140625" style="98" customWidth="1"/>
    <col min="13309" max="13309" width="14" style="98" customWidth="1"/>
    <col min="13310" max="13311" width="9.25" style="98" customWidth="1"/>
    <col min="13312" max="13552" width="9" style="98"/>
    <col min="13553" max="13553" width="4.33203125" style="98" customWidth="1"/>
    <col min="13554" max="13554" width="18" style="98" customWidth="1"/>
    <col min="13555" max="13555" width="14.6640625" style="98" customWidth="1"/>
    <col min="13556" max="13557" width="9" style="98"/>
    <col min="13558" max="13558" width="13.75" style="98" customWidth="1"/>
    <col min="13559" max="13559" width="11.75" style="98" customWidth="1"/>
    <col min="13560" max="13560" width="9" style="98" customWidth="1"/>
    <col min="13561" max="13562" width="10.25" style="98" customWidth="1"/>
    <col min="13563" max="13563" width="16" style="98" customWidth="1"/>
    <col min="13564" max="13564" width="7.4140625" style="98" customWidth="1"/>
    <col min="13565" max="13565" width="14" style="98" customWidth="1"/>
    <col min="13566" max="13567" width="9.25" style="98" customWidth="1"/>
    <col min="13568" max="13808" width="9" style="98"/>
    <col min="13809" max="13809" width="4.33203125" style="98" customWidth="1"/>
    <col min="13810" max="13810" width="18" style="98" customWidth="1"/>
    <col min="13811" max="13811" width="14.6640625" style="98" customWidth="1"/>
    <col min="13812" max="13813" width="9" style="98"/>
    <col min="13814" max="13814" width="13.75" style="98" customWidth="1"/>
    <col min="13815" max="13815" width="11.75" style="98" customWidth="1"/>
    <col min="13816" max="13816" width="9" style="98" customWidth="1"/>
    <col min="13817" max="13818" width="10.25" style="98" customWidth="1"/>
    <col min="13819" max="13819" width="16" style="98" customWidth="1"/>
    <col min="13820" max="13820" width="7.4140625" style="98" customWidth="1"/>
    <col min="13821" max="13821" width="14" style="98" customWidth="1"/>
    <col min="13822" max="13823" width="9.25" style="98" customWidth="1"/>
    <col min="13824" max="14064" width="9" style="98"/>
    <col min="14065" max="14065" width="4.33203125" style="98" customWidth="1"/>
    <col min="14066" max="14066" width="18" style="98" customWidth="1"/>
    <col min="14067" max="14067" width="14.6640625" style="98" customWidth="1"/>
    <col min="14068" max="14069" width="9" style="98"/>
    <col min="14070" max="14070" width="13.75" style="98" customWidth="1"/>
    <col min="14071" max="14071" width="11.75" style="98" customWidth="1"/>
    <col min="14072" max="14072" width="9" style="98" customWidth="1"/>
    <col min="14073" max="14074" width="10.25" style="98" customWidth="1"/>
    <col min="14075" max="14075" width="16" style="98" customWidth="1"/>
    <col min="14076" max="14076" width="7.4140625" style="98" customWidth="1"/>
    <col min="14077" max="14077" width="14" style="98" customWidth="1"/>
    <col min="14078" max="14079" width="9.25" style="98" customWidth="1"/>
    <col min="14080" max="14320" width="9" style="98"/>
    <col min="14321" max="14321" width="4.33203125" style="98" customWidth="1"/>
    <col min="14322" max="14322" width="18" style="98" customWidth="1"/>
    <col min="14323" max="14323" width="14.6640625" style="98" customWidth="1"/>
    <col min="14324" max="14325" width="9" style="98"/>
    <col min="14326" max="14326" width="13.75" style="98" customWidth="1"/>
    <col min="14327" max="14327" width="11.75" style="98" customWidth="1"/>
    <col min="14328" max="14328" width="9" style="98" customWidth="1"/>
    <col min="14329" max="14330" width="10.25" style="98" customWidth="1"/>
    <col min="14331" max="14331" width="16" style="98" customWidth="1"/>
    <col min="14332" max="14332" width="7.4140625" style="98" customWidth="1"/>
    <col min="14333" max="14333" width="14" style="98" customWidth="1"/>
    <col min="14334" max="14335" width="9.25" style="98" customWidth="1"/>
    <col min="14336" max="14576" width="9" style="98"/>
    <col min="14577" max="14577" width="4.33203125" style="98" customWidth="1"/>
    <col min="14578" max="14578" width="18" style="98" customWidth="1"/>
    <col min="14579" max="14579" width="14.6640625" style="98" customWidth="1"/>
    <col min="14580" max="14581" width="9" style="98"/>
    <col min="14582" max="14582" width="13.75" style="98" customWidth="1"/>
    <col min="14583" max="14583" width="11.75" style="98" customWidth="1"/>
    <col min="14584" max="14584" width="9" style="98" customWidth="1"/>
    <col min="14585" max="14586" width="10.25" style="98" customWidth="1"/>
    <col min="14587" max="14587" width="16" style="98" customWidth="1"/>
    <col min="14588" max="14588" width="7.4140625" style="98" customWidth="1"/>
    <col min="14589" max="14589" width="14" style="98" customWidth="1"/>
    <col min="14590" max="14591" width="9.25" style="98" customWidth="1"/>
    <col min="14592" max="14832" width="9" style="98"/>
    <col min="14833" max="14833" width="4.33203125" style="98" customWidth="1"/>
    <col min="14834" max="14834" width="18" style="98" customWidth="1"/>
    <col min="14835" max="14835" width="14.6640625" style="98" customWidth="1"/>
    <col min="14836" max="14837" width="9" style="98"/>
    <col min="14838" max="14838" width="13.75" style="98" customWidth="1"/>
    <col min="14839" max="14839" width="11.75" style="98" customWidth="1"/>
    <col min="14840" max="14840" width="9" style="98" customWidth="1"/>
    <col min="14841" max="14842" width="10.25" style="98" customWidth="1"/>
    <col min="14843" max="14843" width="16" style="98" customWidth="1"/>
    <col min="14844" max="14844" width="7.4140625" style="98" customWidth="1"/>
    <col min="14845" max="14845" width="14" style="98" customWidth="1"/>
    <col min="14846" max="14847" width="9.25" style="98" customWidth="1"/>
    <col min="14848" max="15088" width="9" style="98"/>
    <col min="15089" max="15089" width="4.33203125" style="98" customWidth="1"/>
    <col min="15090" max="15090" width="18" style="98" customWidth="1"/>
    <col min="15091" max="15091" width="14.6640625" style="98" customWidth="1"/>
    <col min="15092" max="15093" width="9" style="98"/>
    <col min="15094" max="15094" width="13.75" style="98" customWidth="1"/>
    <col min="15095" max="15095" width="11.75" style="98" customWidth="1"/>
    <col min="15096" max="15096" width="9" style="98" customWidth="1"/>
    <col min="15097" max="15098" width="10.25" style="98" customWidth="1"/>
    <col min="15099" max="15099" width="16" style="98" customWidth="1"/>
    <col min="15100" max="15100" width="7.4140625" style="98" customWidth="1"/>
    <col min="15101" max="15101" width="14" style="98" customWidth="1"/>
    <col min="15102" max="15103" width="9.25" style="98" customWidth="1"/>
    <col min="15104" max="15344" width="9" style="98"/>
    <col min="15345" max="15345" width="4.33203125" style="98" customWidth="1"/>
    <col min="15346" max="15346" width="18" style="98" customWidth="1"/>
    <col min="15347" max="15347" width="14.6640625" style="98" customWidth="1"/>
    <col min="15348" max="15349" width="9" style="98"/>
    <col min="15350" max="15350" width="13.75" style="98" customWidth="1"/>
    <col min="15351" max="15351" width="11.75" style="98" customWidth="1"/>
    <col min="15352" max="15352" width="9" style="98" customWidth="1"/>
    <col min="15353" max="15354" width="10.25" style="98" customWidth="1"/>
    <col min="15355" max="15355" width="16" style="98" customWidth="1"/>
    <col min="15356" max="15356" width="7.4140625" style="98" customWidth="1"/>
    <col min="15357" max="15357" width="14" style="98" customWidth="1"/>
    <col min="15358" max="15359" width="9.25" style="98" customWidth="1"/>
    <col min="15360" max="15600" width="9" style="98"/>
    <col min="15601" max="15601" width="4.33203125" style="98" customWidth="1"/>
    <col min="15602" max="15602" width="18" style="98" customWidth="1"/>
    <col min="15603" max="15603" width="14.6640625" style="98" customWidth="1"/>
    <col min="15604" max="15605" width="9" style="98"/>
    <col min="15606" max="15606" width="13.75" style="98" customWidth="1"/>
    <col min="15607" max="15607" width="11.75" style="98" customWidth="1"/>
    <col min="15608" max="15608" width="9" style="98" customWidth="1"/>
    <col min="15609" max="15610" width="10.25" style="98" customWidth="1"/>
    <col min="15611" max="15611" width="16" style="98" customWidth="1"/>
    <col min="15612" max="15612" width="7.4140625" style="98" customWidth="1"/>
    <col min="15613" max="15613" width="14" style="98" customWidth="1"/>
    <col min="15614" max="15615" width="9.25" style="98" customWidth="1"/>
    <col min="15616" max="15856" width="9" style="98"/>
    <col min="15857" max="15857" width="4.33203125" style="98" customWidth="1"/>
    <col min="15858" max="15858" width="18" style="98" customWidth="1"/>
    <col min="15859" max="15859" width="14.6640625" style="98" customWidth="1"/>
    <col min="15860" max="15861" width="9" style="98"/>
    <col min="15862" max="15862" width="13.75" style="98" customWidth="1"/>
    <col min="15863" max="15863" width="11.75" style="98" customWidth="1"/>
    <col min="15864" max="15864" width="9" style="98" customWidth="1"/>
    <col min="15865" max="15866" width="10.25" style="98" customWidth="1"/>
    <col min="15867" max="15867" width="16" style="98" customWidth="1"/>
    <col min="15868" max="15868" width="7.4140625" style="98" customWidth="1"/>
    <col min="15869" max="15869" width="14" style="98" customWidth="1"/>
    <col min="15870" max="15871" width="9.25" style="98" customWidth="1"/>
    <col min="15872" max="16112" width="9" style="98"/>
    <col min="16113" max="16113" width="4.33203125" style="98" customWidth="1"/>
    <col min="16114" max="16114" width="18" style="98" customWidth="1"/>
    <col min="16115" max="16115" width="14.6640625" style="98" customWidth="1"/>
    <col min="16116" max="16117" width="9" style="98"/>
    <col min="16118" max="16118" width="13.75" style="98" customWidth="1"/>
    <col min="16119" max="16119" width="11.75" style="98" customWidth="1"/>
    <col min="16120" max="16120" width="9" style="98" customWidth="1"/>
    <col min="16121" max="16122" width="10.25" style="98" customWidth="1"/>
    <col min="16123" max="16123" width="16" style="98" customWidth="1"/>
    <col min="16124" max="16124" width="7.4140625" style="98" customWidth="1"/>
    <col min="16125" max="16125" width="14" style="98" customWidth="1"/>
    <col min="16126" max="16127" width="9.25" style="98" customWidth="1"/>
    <col min="16128" max="16384" width="9" style="98"/>
  </cols>
  <sheetData>
    <row r="1" spans="1:29" ht="21">
      <c r="W1" s="1039"/>
      <c r="X1" s="1039"/>
      <c r="Y1" s="1039"/>
      <c r="Z1" s="1039"/>
      <c r="AA1" s="1039"/>
      <c r="AB1" s="1039"/>
      <c r="AC1" s="1039"/>
    </row>
    <row r="2" spans="1:29" ht="37.5" customHeight="1">
      <c r="A2" s="211"/>
      <c r="M2" s="1103"/>
      <c r="N2" s="1103"/>
      <c r="O2" s="1103"/>
      <c r="P2" s="1103"/>
      <c r="Q2" s="1103"/>
      <c r="R2" s="1103"/>
      <c r="S2" s="1103"/>
      <c r="T2" s="1103"/>
      <c r="U2" s="1103"/>
      <c r="V2" s="1103"/>
      <c r="W2" s="1040" t="s">
        <v>1281</v>
      </c>
      <c r="X2" s="1041"/>
      <c r="Y2" s="1041"/>
      <c r="Z2" s="1041"/>
      <c r="AA2" s="1041"/>
      <c r="AB2" s="1041"/>
      <c r="AC2" s="1042"/>
    </row>
    <row r="3" spans="1:29" ht="15" customHeight="1">
      <c r="A3" s="211"/>
      <c r="B3" s="196" t="s">
        <v>1422</v>
      </c>
      <c r="W3" s="1043"/>
      <c r="X3" s="1039"/>
      <c r="Y3" s="1039"/>
      <c r="Z3" s="1039"/>
      <c r="AA3" s="1039"/>
      <c r="AB3" s="1039"/>
      <c r="AC3" s="1044"/>
    </row>
    <row r="4" spans="1:29" ht="30" customHeight="1">
      <c r="B4" s="1101" t="s">
        <v>939</v>
      </c>
      <c r="C4" s="1101"/>
      <c r="D4" s="1101"/>
      <c r="E4" s="1101"/>
      <c r="F4" s="1101"/>
      <c r="G4" s="1101"/>
      <c r="H4" s="1101"/>
      <c r="I4" s="1101"/>
      <c r="J4" s="1101"/>
      <c r="K4" s="1101"/>
      <c r="L4" s="197"/>
      <c r="N4" s="182"/>
      <c r="O4" s="183"/>
      <c r="P4" s="182"/>
      <c r="Q4" s="183"/>
      <c r="R4" s="183"/>
      <c r="W4" s="1045" t="s">
        <v>1351</v>
      </c>
      <c r="X4" s="1046"/>
      <c r="Y4" s="1046"/>
      <c r="Z4" s="1046"/>
      <c r="AA4" s="1046"/>
      <c r="AB4" s="1046"/>
      <c r="AC4" s="1047"/>
    </row>
    <row r="5" spans="1:29" ht="33.75" customHeight="1">
      <c r="B5" s="1102" t="s">
        <v>1153</v>
      </c>
      <c r="C5" s="1102"/>
      <c r="D5" s="1102"/>
      <c r="E5" s="1102"/>
      <c r="F5" s="1102"/>
      <c r="G5" s="1102"/>
      <c r="H5" s="1102"/>
      <c r="I5" s="1102"/>
      <c r="J5" s="1102"/>
      <c r="K5" s="1102"/>
      <c r="L5" s="198"/>
      <c r="W5" s="1048" t="s">
        <v>1296</v>
      </c>
      <c r="X5" s="1049"/>
      <c r="Y5" s="1049"/>
      <c r="Z5" s="1049"/>
      <c r="AA5" s="1049"/>
      <c r="AB5" s="1049"/>
      <c r="AC5" s="1050"/>
    </row>
    <row r="6" spans="1:29" ht="28" customHeight="1">
      <c r="B6" s="1119" t="s">
        <v>1423</v>
      </c>
      <c r="C6" s="1119"/>
      <c r="D6" s="1119"/>
      <c r="E6" s="1119"/>
      <c r="F6" s="1119"/>
      <c r="G6" s="1119"/>
      <c r="H6" s="1119"/>
      <c r="I6" s="1119"/>
      <c r="J6" s="1119"/>
      <c r="K6" s="1119"/>
      <c r="L6" s="199"/>
      <c r="W6" s="418" t="s">
        <v>1272</v>
      </c>
      <c r="X6" s="413"/>
      <c r="Y6" s="418" t="s">
        <v>1273</v>
      </c>
      <c r="Z6" s="1008"/>
      <c r="AA6" s="1009"/>
      <c r="AB6" s="418" t="s">
        <v>173</v>
      </c>
      <c r="AC6" s="413"/>
    </row>
    <row r="7" spans="1:29" ht="28" customHeight="1">
      <c r="B7" s="1119"/>
      <c r="C7" s="1119"/>
      <c r="D7" s="1119"/>
      <c r="E7" s="1119"/>
      <c r="F7" s="1119"/>
      <c r="G7" s="1119"/>
      <c r="H7" s="1119"/>
      <c r="I7" s="1119"/>
      <c r="J7" s="1119"/>
      <c r="K7" s="1119"/>
      <c r="L7" s="199"/>
      <c r="W7" s="418" t="s">
        <v>1295</v>
      </c>
      <c r="X7" s="413"/>
      <c r="Y7" s="418" t="s">
        <v>1274</v>
      </c>
      <c r="Z7" s="1010" t="s">
        <v>1298</v>
      </c>
      <c r="AA7" s="1011"/>
      <c r="AB7" s="1011"/>
      <c r="AC7" s="1012"/>
    </row>
    <row r="8" spans="1:29" ht="28" customHeight="1">
      <c r="B8" s="1088" t="s">
        <v>893</v>
      </c>
      <c r="C8" s="1088"/>
      <c r="D8" s="1088"/>
      <c r="E8" s="1088"/>
      <c r="F8" s="1088"/>
      <c r="G8" s="1088"/>
      <c r="H8" s="1088"/>
      <c r="I8" s="1088"/>
      <c r="J8" s="1088"/>
      <c r="K8" s="1088"/>
      <c r="L8" s="200"/>
      <c r="W8" s="418" t="s">
        <v>1275</v>
      </c>
      <c r="X8" s="1008"/>
      <c r="Y8" s="1013"/>
      <c r="Z8" s="1013"/>
      <c r="AA8" s="1013"/>
      <c r="AB8" s="1013"/>
      <c r="AC8" s="1009"/>
    </row>
    <row r="9" spans="1:29" ht="28" customHeight="1">
      <c r="B9" s="185" t="s">
        <v>894</v>
      </c>
      <c r="C9" s="1129" t="s">
        <v>1349</v>
      </c>
      <c r="D9" s="1130"/>
      <c r="E9" s="1131"/>
      <c r="F9" s="186" t="s">
        <v>895</v>
      </c>
      <c r="G9" s="1129"/>
      <c r="H9" s="1131"/>
      <c r="I9" s="1136" t="s">
        <v>896</v>
      </c>
      <c r="J9" s="1137"/>
      <c r="K9" s="187"/>
      <c r="L9" s="555"/>
      <c r="M9" s="1120" t="s">
        <v>1462</v>
      </c>
      <c r="N9" s="1121"/>
      <c r="O9" s="1121"/>
      <c r="P9" s="1121"/>
      <c r="Q9" s="1121"/>
      <c r="R9" s="1121"/>
      <c r="S9" s="1121"/>
      <c r="T9" s="1121"/>
      <c r="U9" s="1122"/>
      <c r="W9" s="418" t="s">
        <v>1352</v>
      </c>
      <c r="X9" s="1014" t="s">
        <v>1353</v>
      </c>
      <c r="Y9" s="1015"/>
      <c r="Z9" s="1016"/>
      <c r="AA9" s="1014" t="s">
        <v>1354</v>
      </c>
      <c r="AB9" s="1015"/>
      <c r="AC9" s="1016"/>
    </row>
    <row r="10" spans="1:29" ht="28" customHeight="1">
      <c r="B10" s="1104" t="s">
        <v>1293</v>
      </c>
      <c r="C10" s="1106"/>
      <c r="D10" s="1107"/>
      <c r="E10" s="1108"/>
      <c r="F10" s="1112" t="s">
        <v>898</v>
      </c>
      <c r="G10" s="1114" t="s">
        <v>899</v>
      </c>
      <c r="H10" s="1115"/>
      <c r="I10" s="1115"/>
      <c r="J10" s="1116"/>
      <c r="K10" s="186" t="s">
        <v>900</v>
      </c>
      <c r="L10" s="556"/>
      <c r="M10" s="1123"/>
      <c r="N10" s="1124"/>
      <c r="O10" s="1124"/>
      <c r="P10" s="1124"/>
      <c r="Q10" s="1124"/>
      <c r="R10" s="1124"/>
      <c r="S10" s="1124"/>
      <c r="T10" s="1124"/>
      <c r="U10" s="1125"/>
      <c r="W10" s="1017" t="s">
        <v>1297</v>
      </c>
      <c r="X10" s="1018"/>
      <c r="Y10" s="1018"/>
      <c r="Z10" s="1018"/>
      <c r="AA10" s="1018"/>
      <c r="AB10" s="1018"/>
      <c r="AC10" s="1019"/>
    </row>
    <row r="11" spans="1:29" ht="28" customHeight="1">
      <c r="A11" s="227"/>
      <c r="B11" s="1105"/>
      <c r="C11" s="1109"/>
      <c r="D11" s="1110"/>
      <c r="E11" s="1111"/>
      <c r="F11" s="1113"/>
      <c r="G11" s="1117" t="s">
        <v>901</v>
      </c>
      <c r="H11" s="1118"/>
      <c r="I11" s="1117" t="s">
        <v>902</v>
      </c>
      <c r="J11" s="1118"/>
      <c r="K11" s="188"/>
      <c r="L11" s="556"/>
      <c r="M11" s="1123"/>
      <c r="N11" s="1124"/>
      <c r="O11" s="1124"/>
      <c r="P11" s="1124"/>
      <c r="Q11" s="1124"/>
      <c r="R11" s="1124"/>
      <c r="S11" s="1124"/>
      <c r="T11" s="1124"/>
      <c r="U11" s="1125"/>
      <c r="W11" s="984" t="s">
        <v>1299</v>
      </c>
      <c r="X11" s="985"/>
      <c r="Y11" s="985"/>
      <c r="Z11" s="985"/>
      <c r="AA11" s="985"/>
      <c r="AB11" s="985"/>
      <c r="AC11" s="986"/>
    </row>
    <row r="12" spans="1:29" ht="28" customHeight="1">
      <c r="B12" s="185" t="s">
        <v>903</v>
      </c>
      <c r="C12" s="1129"/>
      <c r="D12" s="1130"/>
      <c r="E12" s="1130"/>
      <c r="F12" s="1130"/>
      <c r="G12" s="1130"/>
      <c r="H12" s="1130"/>
      <c r="I12" s="1130"/>
      <c r="J12" s="1130"/>
      <c r="K12" s="1131"/>
      <c r="L12" s="556"/>
      <c r="M12" s="1123"/>
      <c r="N12" s="1124"/>
      <c r="O12" s="1124"/>
      <c r="P12" s="1124"/>
      <c r="Q12" s="1124"/>
      <c r="R12" s="1124"/>
      <c r="S12" s="1124"/>
      <c r="T12" s="1124"/>
      <c r="U12" s="1125"/>
      <c r="W12" s="984" t="s">
        <v>1300</v>
      </c>
      <c r="X12" s="985"/>
      <c r="Y12" s="985"/>
      <c r="Z12" s="985"/>
      <c r="AA12" s="985"/>
      <c r="AB12" s="985"/>
      <c r="AC12" s="986"/>
    </row>
    <row r="13" spans="1:29" ht="28" customHeight="1">
      <c r="B13" s="185" t="s">
        <v>904</v>
      </c>
      <c r="C13" s="1129"/>
      <c r="D13" s="1130"/>
      <c r="E13" s="1130"/>
      <c r="F13" s="1130"/>
      <c r="G13" s="1130"/>
      <c r="H13" s="1130"/>
      <c r="I13" s="1130"/>
      <c r="J13" s="1130"/>
      <c r="K13" s="1131"/>
      <c r="L13" s="556"/>
      <c r="M13" s="1123"/>
      <c r="N13" s="1124"/>
      <c r="O13" s="1124"/>
      <c r="P13" s="1124"/>
      <c r="Q13" s="1124"/>
      <c r="R13" s="1124"/>
      <c r="S13" s="1124"/>
      <c r="T13" s="1124"/>
      <c r="U13" s="1125"/>
      <c r="W13" s="987" t="s">
        <v>1355</v>
      </c>
      <c r="X13" s="988"/>
      <c r="Y13" s="988"/>
      <c r="Z13" s="988"/>
      <c r="AA13" s="988"/>
      <c r="AB13" s="988"/>
      <c r="AC13" s="989"/>
    </row>
    <row r="14" spans="1:29" ht="28" customHeight="1">
      <c r="B14" s="185" t="s">
        <v>905</v>
      </c>
      <c r="C14" s="1132" t="s">
        <v>906</v>
      </c>
      <c r="D14" s="1133"/>
      <c r="E14" s="1133"/>
      <c r="F14" s="1134"/>
      <c r="G14" s="1132" t="s">
        <v>907</v>
      </c>
      <c r="H14" s="1133"/>
      <c r="I14" s="1133"/>
      <c r="J14" s="1133"/>
      <c r="K14" s="1134"/>
      <c r="L14" s="557"/>
      <c r="M14" s="1123"/>
      <c r="N14" s="1124"/>
      <c r="O14" s="1124"/>
      <c r="P14" s="1124"/>
      <c r="Q14" s="1124"/>
      <c r="R14" s="1124"/>
      <c r="S14" s="1124"/>
      <c r="T14" s="1124"/>
      <c r="U14" s="1125"/>
      <c r="W14" s="414" t="s">
        <v>1276</v>
      </c>
      <c r="X14" s="1020" t="s">
        <v>1284</v>
      </c>
      <c r="Y14" s="1021"/>
      <c r="Z14" s="1022"/>
      <c r="AA14" s="1020" t="s">
        <v>1285</v>
      </c>
      <c r="AB14" s="1022"/>
      <c r="AC14" s="415" t="s">
        <v>1356</v>
      </c>
    </row>
    <row r="15" spans="1:29" ht="19.5" customHeight="1">
      <c r="B15" s="1107"/>
      <c r="C15" s="1107"/>
      <c r="D15" s="1107"/>
      <c r="E15" s="1107"/>
      <c r="F15" s="1107"/>
      <c r="G15" s="1107"/>
      <c r="H15" s="1107"/>
      <c r="I15" s="1107"/>
      <c r="J15" s="1107"/>
      <c r="K15" s="1107"/>
      <c r="L15" s="556"/>
      <c r="M15" s="1123"/>
      <c r="N15" s="1124"/>
      <c r="O15" s="1124"/>
      <c r="P15" s="1124"/>
      <c r="Q15" s="1124"/>
      <c r="R15" s="1124"/>
      <c r="S15" s="1124"/>
      <c r="T15" s="1124"/>
      <c r="U15" s="1125"/>
      <c r="W15" s="1023" t="s">
        <v>1283</v>
      </c>
      <c r="X15" s="494" t="s">
        <v>1282</v>
      </c>
      <c r="Y15" s="472"/>
      <c r="Z15" s="473"/>
      <c r="AA15" s="1006" t="s">
        <v>1286</v>
      </c>
      <c r="AB15" s="1007"/>
      <c r="AC15" s="1026">
        <v>1800000</v>
      </c>
    </row>
    <row r="16" spans="1:29" ht="18.75" customHeight="1">
      <c r="B16" s="1084" t="s">
        <v>908</v>
      </c>
      <c r="C16" s="1084"/>
      <c r="D16" s="1084"/>
      <c r="E16" s="1084"/>
      <c r="F16" s="1084"/>
      <c r="G16" s="1084"/>
      <c r="H16" s="1084"/>
      <c r="I16" s="1084"/>
      <c r="J16" s="1084"/>
      <c r="K16" s="1084"/>
      <c r="L16" s="557"/>
      <c r="M16" s="1123"/>
      <c r="N16" s="1124"/>
      <c r="O16" s="1124"/>
      <c r="P16" s="1124"/>
      <c r="Q16" s="1124"/>
      <c r="R16" s="1124"/>
      <c r="S16" s="1124"/>
      <c r="T16" s="1124"/>
      <c r="U16" s="1125"/>
      <c r="W16" s="1024"/>
      <c r="X16" s="996" t="s">
        <v>1357</v>
      </c>
      <c r="Y16" s="997"/>
      <c r="Z16" s="998"/>
      <c r="AA16" s="1006" t="s">
        <v>1287</v>
      </c>
      <c r="AB16" s="1007"/>
      <c r="AC16" s="1027"/>
    </row>
    <row r="17" spans="2:29" ht="21.75" customHeight="1">
      <c r="B17" s="190" t="s">
        <v>909</v>
      </c>
      <c r="C17" s="1084" t="s">
        <v>910</v>
      </c>
      <c r="D17" s="1084"/>
      <c r="E17" s="1084"/>
      <c r="F17" s="1084"/>
      <c r="G17" s="1084"/>
      <c r="H17" s="1084"/>
      <c r="I17" s="1084"/>
      <c r="J17" s="1084"/>
      <c r="K17" s="1084"/>
      <c r="L17" s="557"/>
      <c r="M17" s="1123"/>
      <c r="N17" s="1124"/>
      <c r="O17" s="1124"/>
      <c r="P17" s="1124"/>
      <c r="Q17" s="1124"/>
      <c r="R17" s="1124"/>
      <c r="S17" s="1124"/>
      <c r="T17" s="1124"/>
      <c r="U17" s="1125"/>
      <c r="W17" s="1024"/>
      <c r="X17" s="996" t="s">
        <v>1358</v>
      </c>
      <c r="Y17" s="997"/>
      <c r="Z17" s="998"/>
      <c r="AA17" s="1006"/>
      <c r="AB17" s="1007"/>
      <c r="AC17" s="1027"/>
    </row>
    <row r="18" spans="2:29" ht="27.75" customHeight="1">
      <c r="B18" s="191" t="s">
        <v>911</v>
      </c>
      <c r="C18" s="1135"/>
      <c r="D18" s="1135"/>
      <c r="E18" s="191"/>
      <c r="F18" s="191"/>
      <c r="G18" s="191"/>
      <c r="H18" s="191"/>
      <c r="I18" s="191"/>
      <c r="J18" s="191"/>
      <c r="K18" s="191"/>
      <c r="L18" s="558"/>
      <c r="M18" s="1123"/>
      <c r="N18" s="1124"/>
      <c r="O18" s="1124"/>
      <c r="P18" s="1124"/>
      <c r="Q18" s="1124"/>
      <c r="R18" s="1124"/>
      <c r="S18" s="1124"/>
      <c r="T18" s="1124"/>
      <c r="U18" s="1125"/>
      <c r="W18" s="1024"/>
      <c r="X18" s="996" t="s">
        <v>1359</v>
      </c>
      <c r="Y18" s="997"/>
      <c r="Z18" s="998"/>
      <c r="AA18" s="1006"/>
      <c r="AB18" s="1007"/>
      <c r="AC18" s="1027"/>
    </row>
    <row r="19" spans="2:29" ht="4.5" customHeight="1">
      <c r="B19" s="191"/>
      <c r="C19" s="189"/>
      <c r="D19" s="189"/>
      <c r="E19" s="191"/>
      <c r="F19" s="191"/>
      <c r="G19" s="191"/>
      <c r="H19" s="191"/>
      <c r="I19" s="191"/>
      <c r="J19" s="191"/>
      <c r="K19" s="191"/>
      <c r="L19" s="558"/>
      <c r="M19" s="1123"/>
      <c r="N19" s="1124"/>
      <c r="O19" s="1124"/>
      <c r="P19" s="1124"/>
      <c r="Q19" s="1124"/>
      <c r="R19" s="1124"/>
      <c r="S19" s="1124"/>
      <c r="T19" s="1124"/>
      <c r="U19" s="1125"/>
      <c r="W19" s="1024"/>
      <c r="X19" s="1033" t="s">
        <v>1288</v>
      </c>
      <c r="Y19" s="1034"/>
      <c r="Z19" s="1035"/>
      <c r="AA19" s="1029" t="s">
        <v>1286</v>
      </c>
      <c r="AB19" s="1030"/>
      <c r="AC19" s="1027"/>
    </row>
    <row r="20" spans="2:29" ht="25" customHeight="1">
      <c r="B20" s="1084" t="s">
        <v>1292</v>
      </c>
      <c r="C20" s="1084"/>
      <c r="D20" s="1084"/>
      <c r="E20" s="1084"/>
      <c r="F20" s="1084"/>
      <c r="G20" s="1084"/>
      <c r="H20" s="1084"/>
      <c r="I20" s="1084"/>
      <c r="J20" s="1084"/>
      <c r="K20" s="1084"/>
      <c r="L20" s="557"/>
      <c r="M20" s="1126"/>
      <c r="N20" s="1127"/>
      <c r="O20" s="1127"/>
      <c r="P20" s="1127"/>
      <c r="Q20" s="1127"/>
      <c r="R20" s="1127"/>
      <c r="S20" s="1127"/>
      <c r="T20" s="1127"/>
      <c r="U20" s="1128"/>
      <c r="W20" s="1024"/>
      <c r="X20" s="1036"/>
      <c r="Y20" s="1037"/>
      <c r="Z20" s="1038"/>
      <c r="AA20" s="1031"/>
      <c r="AB20" s="1032"/>
      <c r="AC20" s="1027"/>
    </row>
    <row r="21" spans="2:29" ht="25" customHeight="1">
      <c r="B21" s="1088" t="s">
        <v>912</v>
      </c>
      <c r="C21" s="1088"/>
      <c r="D21" s="1088"/>
      <c r="E21" s="1088"/>
      <c r="F21" s="1088"/>
      <c r="G21" s="1088"/>
      <c r="H21" s="1088"/>
      <c r="I21" s="1088"/>
      <c r="J21" s="1088"/>
      <c r="K21" s="1088"/>
      <c r="L21" s="200"/>
      <c r="M21" s="192"/>
      <c r="N21" s="192"/>
      <c r="O21" s="192"/>
      <c r="P21" s="192"/>
      <c r="Q21" s="192"/>
      <c r="R21" s="192"/>
      <c r="S21" s="192"/>
      <c r="T21" s="192"/>
      <c r="U21" s="192"/>
      <c r="W21" s="1024"/>
      <c r="X21" s="996" t="s">
        <v>1289</v>
      </c>
      <c r="Y21" s="997"/>
      <c r="Z21" s="998"/>
      <c r="AA21" s="1006"/>
      <c r="AB21" s="1007"/>
      <c r="AC21" s="1027"/>
    </row>
    <row r="22" spans="2:29" ht="25" customHeight="1">
      <c r="B22" s="1089" t="s">
        <v>913</v>
      </c>
      <c r="C22" s="1090"/>
      <c r="D22" s="1093" t="s">
        <v>914</v>
      </c>
      <c r="E22" s="1094"/>
      <c r="F22" s="1095"/>
      <c r="G22" s="1089" t="s">
        <v>915</v>
      </c>
      <c r="H22" s="1099"/>
      <c r="I22" s="1090"/>
      <c r="J22" s="1089" t="s">
        <v>916</v>
      </c>
      <c r="K22" s="1090"/>
      <c r="L22" s="201"/>
      <c r="W22" s="1024"/>
      <c r="X22" s="996" t="s">
        <v>1290</v>
      </c>
      <c r="Y22" s="997"/>
      <c r="Z22" s="998"/>
      <c r="AA22" s="1006" t="s">
        <v>1286</v>
      </c>
      <c r="AB22" s="1007"/>
      <c r="AC22" s="1027"/>
    </row>
    <row r="23" spans="2:29" ht="25" customHeight="1">
      <c r="B23" s="1091"/>
      <c r="C23" s="1092"/>
      <c r="D23" s="1096"/>
      <c r="E23" s="1097"/>
      <c r="F23" s="1098"/>
      <c r="G23" s="1091"/>
      <c r="H23" s="1100"/>
      <c r="I23" s="1092"/>
      <c r="J23" s="1091"/>
      <c r="K23" s="1092"/>
      <c r="L23" s="201"/>
      <c r="W23" s="1025"/>
      <c r="X23" s="996" t="s">
        <v>1291</v>
      </c>
      <c r="Y23" s="997"/>
      <c r="Z23" s="998"/>
      <c r="AA23" s="1006"/>
      <c r="AB23" s="1007"/>
      <c r="AC23" s="1028"/>
    </row>
    <row r="24" spans="2:29" ht="30.75" customHeight="1">
      <c r="B24" s="1076" t="s">
        <v>917</v>
      </c>
      <c r="C24" s="1077"/>
      <c r="D24" s="1078"/>
      <c r="E24" s="1079"/>
      <c r="F24" s="1080"/>
      <c r="G24" s="1085">
        <v>0</v>
      </c>
      <c r="H24" s="1086"/>
      <c r="I24" s="1087"/>
      <c r="J24" s="1085">
        <f>G24</f>
        <v>0</v>
      </c>
      <c r="K24" s="1087"/>
      <c r="L24" s="202"/>
      <c r="M24" s="193"/>
      <c r="W24" s="1000" t="s">
        <v>1546</v>
      </c>
      <c r="X24" s="1001"/>
      <c r="Y24" s="1001"/>
      <c r="Z24" s="1001"/>
      <c r="AA24" s="1001"/>
      <c r="AB24" s="1001"/>
      <c r="AC24" s="1002"/>
    </row>
    <row r="25" spans="2:29" ht="30.75" customHeight="1">
      <c r="B25" s="1076" t="s">
        <v>918</v>
      </c>
      <c r="C25" s="1077"/>
      <c r="D25" s="1078"/>
      <c r="E25" s="1079"/>
      <c r="F25" s="1080"/>
      <c r="G25" s="1081">
        <f>IF(G11="학사",ROUNDDOWN(G24/1000000*100,2),IF(G11="석사",ROUNDDOWN(G24/1800000*100,2),IF(G11="박사",ROUNDDOWN(G24/2500000*100,2))))</f>
        <v>0</v>
      </c>
      <c r="H25" s="1082"/>
      <c r="I25" s="1083"/>
      <c r="J25" s="1081">
        <f>G25</f>
        <v>0</v>
      </c>
      <c r="K25" s="1083"/>
      <c r="L25" s="203"/>
      <c r="W25" s="1003"/>
      <c r="X25" s="1004"/>
      <c r="Y25" s="1004"/>
      <c r="Z25" s="1004"/>
      <c r="AA25" s="1004"/>
      <c r="AB25" s="1004"/>
      <c r="AC25" s="1005"/>
    </row>
    <row r="26" spans="2:29" ht="16.5" customHeight="1">
      <c r="B26" s="1063"/>
      <c r="C26" s="1063"/>
      <c r="D26" s="1063"/>
      <c r="E26" s="1063"/>
      <c r="F26" s="1063"/>
      <c r="G26" s="1063"/>
      <c r="H26" s="1063"/>
      <c r="I26" s="1063"/>
      <c r="J26" s="1063"/>
      <c r="K26" s="1063"/>
      <c r="L26" s="200"/>
      <c r="W26" s="1003"/>
      <c r="X26" s="1004"/>
      <c r="Y26" s="1004"/>
      <c r="Z26" s="1004"/>
      <c r="AA26" s="1004"/>
      <c r="AB26" s="1004"/>
      <c r="AC26" s="1005"/>
    </row>
    <row r="27" spans="2:29" ht="21" customHeight="1">
      <c r="B27" s="1084" t="s">
        <v>919</v>
      </c>
      <c r="C27" s="1084"/>
      <c r="D27" s="1084"/>
      <c r="E27" s="1084"/>
      <c r="F27" s="1084"/>
      <c r="G27" s="1084"/>
      <c r="H27" s="1084"/>
      <c r="I27" s="1084"/>
      <c r="J27" s="1084"/>
      <c r="K27" s="1084"/>
      <c r="L27" s="200"/>
      <c r="W27" s="984" t="s">
        <v>1301</v>
      </c>
      <c r="X27" s="985"/>
      <c r="Y27" s="985"/>
      <c r="Z27" s="985"/>
      <c r="AA27" s="985"/>
      <c r="AB27" s="985"/>
      <c r="AC27" s="986"/>
    </row>
    <row r="28" spans="2:29" ht="21" customHeight="1">
      <c r="B28" s="1084" t="s">
        <v>920</v>
      </c>
      <c r="C28" s="1084"/>
      <c r="D28" s="1084"/>
      <c r="E28" s="1084"/>
      <c r="F28" s="1084"/>
      <c r="G28" s="1084"/>
      <c r="H28" s="1084"/>
      <c r="I28" s="1084"/>
      <c r="J28" s="1084"/>
      <c r="K28" s="1084"/>
      <c r="L28" s="200"/>
      <c r="W28" s="419" t="s">
        <v>1277</v>
      </c>
      <c r="X28" s="992"/>
      <c r="Y28" s="993"/>
      <c r="Z28" s="993"/>
      <c r="AA28" s="993"/>
      <c r="AB28" s="993"/>
      <c r="AC28" s="994"/>
    </row>
    <row r="29" spans="2:29" ht="21" customHeight="1">
      <c r="B29" s="1084" t="s">
        <v>921</v>
      </c>
      <c r="C29" s="1084"/>
      <c r="D29" s="1084"/>
      <c r="E29" s="1084"/>
      <c r="F29" s="1084"/>
      <c r="G29" s="1084"/>
      <c r="H29" s="1084"/>
      <c r="I29" s="1084"/>
      <c r="J29" s="1084"/>
      <c r="K29" s="1084"/>
      <c r="L29" s="200"/>
      <c r="W29" s="419" t="s">
        <v>1278</v>
      </c>
      <c r="X29" s="992"/>
      <c r="Y29" s="993"/>
      <c r="Z29" s="993"/>
      <c r="AA29" s="995"/>
      <c r="AB29" s="416" t="s">
        <v>1279</v>
      </c>
      <c r="AC29" s="417"/>
    </row>
    <row r="30" spans="2:29" ht="21" customHeight="1">
      <c r="B30" s="1064" t="s">
        <v>922</v>
      </c>
      <c r="C30" s="1064"/>
      <c r="D30" s="1064"/>
      <c r="E30" s="1064"/>
      <c r="F30" s="1064"/>
      <c r="G30" s="1064"/>
      <c r="H30" s="1064"/>
      <c r="I30" s="1064"/>
      <c r="J30" s="1064"/>
      <c r="K30" s="1064"/>
      <c r="L30" s="200"/>
      <c r="W30" s="419" t="s">
        <v>1280</v>
      </c>
      <c r="X30" s="996" t="s">
        <v>1360</v>
      </c>
      <c r="Y30" s="997"/>
      <c r="Z30" s="997"/>
      <c r="AA30" s="998"/>
      <c r="AB30" s="996" t="s">
        <v>1361</v>
      </c>
      <c r="AC30" s="999"/>
    </row>
    <row r="31" spans="2:29" ht="30" customHeight="1">
      <c r="B31" s="1067" t="s">
        <v>923</v>
      </c>
      <c r="C31" s="1068"/>
      <c r="D31" s="1069"/>
      <c r="E31" s="1070"/>
      <c r="F31" s="1070"/>
      <c r="G31" s="1070"/>
      <c r="H31" s="1070"/>
      <c r="I31" s="1070"/>
      <c r="J31" s="1070"/>
      <c r="K31" s="1071"/>
      <c r="L31" s="201"/>
      <c r="W31" s="975" t="s">
        <v>1302</v>
      </c>
      <c r="X31" s="976"/>
      <c r="Y31" s="976"/>
      <c r="Z31" s="976"/>
      <c r="AA31" s="976"/>
      <c r="AB31" s="976"/>
      <c r="AC31" s="977"/>
    </row>
    <row r="32" spans="2:29" ht="30" customHeight="1">
      <c r="B32" s="1067" t="s">
        <v>897</v>
      </c>
      <c r="C32" s="1068"/>
      <c r="D32" s="1069"/>
      <c r="E32" s="1070"/>
      <c r="F32" s="1071"/>
      <c r="G32" s="491" t="s">
        <v>924</v>
      </c>
      <c r="H32" s="1069"/>
      <c r="I32" s="1070"/>
      <c r="J32" s="1070"/>
      <c r="K32" s="1071"/>
      <c r="L32" s="201"/>
      <c r="W32" s="984" t="s">
        <v>1303</v>
      </c>
      <c r="X32" s="985"/>
      <c r="Y32" s="985"/>
      <c r="Z32" s="985"/>
      <c r="AA32" s="985"/>
      <c r="AB32" s="985"/>
      <c r="AC32" s="986"/>
    </row>
    <row r="33" spans="1:29" ht="30" customHeight="1">
      <c r="B33" s="1067" t="s">
        <v>925</v>
      </c>
      <c r="C33" s="1068"/>
      <c r="D33" s="1051" t="s">
        <v>926</v>
      </c>
      <c r="E33" s="1052"/>
      <c r="F33" s="1052"/>
      <c r="G33" s="1053"/>
      <c r="H33" s="1051" t="s">
        <v>927</v>
      </c>
      <c r="I33" s="1052"/>
      <c r="J33" s="1052"/>
      <c r="K33" s="1053"/>
      <c r="L33" s="200"/>
      <c r="W33" s="984" t="s">
        <v>1362</v>
      </c>
      <c r="X33" s="985"/>
      <c r="Y33" s="985"/>
      <c r="Z33" s="985"/>
      <c r="AA33" s="985"/>
      <c r="AB33" s="985"/>
      <c r="AC33" s="986"/>
    </row>
    <row r="34" spans="1:29" ht="29.25" customHeight="1">
      <c r="B34" s="1072" t="s">
        <v>928</v>
      </c>
      <c r="C34" s="1072"/>
      <c r="D34" s="1072"/>
      <c r="E34" s="1072"/>
      <c r="F34" s="1072"/>
      <c r="G34" s="1072"/>
      <c r="H34" s="1072"/>
      <c r="I34" s="1072"/>
      <c r="J34" s="1072"/>
      <c r="K34" s="1072"/>
      <c r="L34" s="200"/>
      <c r="W34" s="984" t="s">
        <v>1304</v>
      </c>
      <c r="X34" s="985"/>
      <c r="Y34" s="985"/>
      <c r="Z34" s="985"/>
      <c r="AA34" s="985"/>
      <c r="AB34" s="985"/>
      <c r="AC34" s="986"/>
    </row>
    <row r="35" spans="1:29" ht="30" customHeight="1">
      <c r="B35" s="1055" t="s">
        <v>894</v>
      </c>
      <c r="C35" s="1056"/>
      <c r="D35" s="1073" t="s">
        <v>1348</v>
      </c>
      <c r="E35" s="1074"/>
      <c r="F35" s="1074"/>
      <c r="G35" s="1074"/>
      <c r="H35" s="1074"/>
      <c r="I35" s="1074"/>
      <c r="J35" s="1074"/>
      <c r="K35" s="1075"/>
      <c r="L35" s="204"/>
      <c r="W35" s="987" t="s">
        <v>1363</v>
      </c>
      <c r="X35" s="988"/>
      <c r="Y35" s="988"/>
      <c r="Z35" s="988"/>
      <c r="AA35" s="988"/>
      <c r="AB35" s="988"/>
      <c r="AC35" s="989"/>
    </row>
    <row r="36" spans="1:29" ht="30" customHeight="1">
      <c r="B36" s="1055" t="s">
        <v>929</v>
      </c>
      <c r="C36" s="1056"/>
      <c r="D36" s="1073"/>
      <c r="E36" s="1074"/>
      <c r="F36" s="1075"/>
      <c r="G36" s="194" t="s">
        <v>930</v>
      </c>
      <c r="H36" s="1073"/>
      <c r="I36" s="1074"/>
      <c r="J36" s="1074"/>
      <c r="K36" s="1075"/>
      <c r="L36" s="204"/>
      <c r="W36" s="984"/>
      <c r="X36" s="985"/>
      <c r="Y36" s="985"/>
      <c r="Z36" s="985"/>
      <c r="AA36" s="985"/>
      <c r="AB36" s="985"/>
      <c r="AC36" s="986"/>
    </row>
    <row r="37" spans="1:29" ht="33" customHeight="1">
      <c r="B37" s="1055" t="s">
        <v>925</v>
      </c>
      <c r="C37" s="1056"/>
      <c r="D37" s="1057" t="s">
        <v>931</v>
      </c>
      <c r="E37" s="1058"/>
      <c r="F37" s="1058"/>
      <c r="G37" s="1059"/>
      <c r="H37" s="1057" t="s">
        <v>907</v>
      </c>
      <c r="I37" s="1058"/>
      <c r="J37" s="1058"/>
      <c r="K37" s="1059"/>
      <c r="L37" s="200"/>
      <c r="W37" s="495"/>
      <c r="X37" s="981" t="s">
        <v>1364</v>
      </c>
      <c r="Y37" s="981"/>
      <c r="Z37" s="981"/>
      <c r="AA37" s="981"/>
      <c r="AB37" s="981"/>
      <c r="AC37" s="982"/>
    </row>
    <row r="38" spans="1:29" ht="27.75" customHeight="1">
      <c r="B38" s="184"/>
      <c r="C38" s="184"/>
      <c r="D38" s="184"/>
      <c r="E38" s="184"/>
      <c r="F38" s="184"/>
      <c r="G38" s="184"/>
      <c r="H38" s="184"/>
      <c r="I38" s="184"/>
      <c r="J38" s="184"/>
      <c r="K38" s="184"/>
      <c r="L38" s="205"/>
      <c r="W38" s="495"/>
      <c r="X38" s="981"/>
      <c r="Y38" s="981"/>
      <c r="Z38" s="981"/>
      <c r="AA38" s="981"/>
      <c r="AB38" s="981"/>
      <c r="AC38" s="982"/>
    </row>
    <row r="39" spans="1:29">
      <c r="B39" s="190" t="s">
        <v>932</v>
      </c>
      <c r="C39" s="184"/>
      <c r="D39" s="184"/>
      <c r="E39" s="184"/>
      <c r="F39" s="184"/>
      <c r="G39" s="184"/>
      <c r="H39" s="184"/>
      <c r="I39" s="184"/>
      <c r="J39" s="184"/>
      <c r="K39" s="184"/>
      <c r="L39" s="205"/>
      <c r="W39" s="978">
        <f ca="1">TODAY()</f>
        <v>46132</v>
      </c>
      <c r="X39" s="979"/>
      <c r="Y39" s="979"/>
      <c r="Z39" s="979"/>
      <c r="AA39" s="979"/>
      <c r="AB39" s="979"/>
      <c r="AC39" s="980"/>
    </row>
    <row r="40" spans="1:29" ht="161.25" customHeight="1">
      <c r="B40" s="1060" t="s">
        <v>1424</v>
      </c>
      <c r="C40" s="1060"/>
      <c r="D40" s="1060"/>
      <c r="E40" s="1060"/>
      <c r="F40" s="1060"/>
      <c r="G40" s="1060"/>
      <c r="H40" s="1060"/>
      <c r="I40" s="1060"/>
      <c r="J40" s="1060"/>
      <c r="K40" s="1060"/>
      <c r="L40" s="206"/>
      <c r="W40" s="525"/>
      <c r="X40" s="518"/>
      <c r="Y40" s="518"/>
      <c r="Z40" s="526" t="s">
        <v>1365</v>
      </c>
      <c r="AA40" s="990" t="s">
        <v>1366</v>
      </c>
      <c r="AB40" s="991"/>
      <c r="AC40" s="524" t="s">
        <v>1367</v>
      </c>
    </row>
    <row r="41" spans="1:29" ht="17.5">
      <c r="B41" s="1061">
        <f ca="1">TODAY()</f>
        <v>46132</v>
      </c>
      <c r="C41" s="1061"/>
      <c r="D41" s="1061"/>
      <c r="E41" s="1061"/>
      <c r="F41" s="1061"/>
      <c r="G41" s="1061"/>
      <c r="H41" s="1061"/>
      <c r="I41" s="1061"/>
      <c r="J41" s="1061"/>
      <c r="K41" s="1061"/>
      <c r="L41" s="207"/>
      <c r="W41" s="522"/>
      <c r="X41" s="521"/>
      <c r="Y41" s="520"/>
      <c r="Z41" s="523" t="s">
        <v>1463</v>
      </c>
      <c r="AA41" s="520"/>
      <c r="AB41" s="521"/>
      <c r="AC41" s="519"/>
    </row>
    <row r="42" spans="1:29" ht="21">
      <c r="W42" s="983"/>
      <c r="X42" s="983"/>
      <c r="Y42" s="983"/>
      <c r="Z42" s="983"/>
      <c r="AA42" s="983"/>
      <c r="AB42" s="983"/>
      <c r="AC42" s="983"/>
    </row>
    <row r="44" spans="1:29" ht="27" customHeight="1">
      <c r="G44" s="100" t="s">
        <v>933</v>
      </c>
      <c r="H44" s="1062" t="str">
        <f>C9</f>
        <v>홍길동1</v>
      </c>
      <c r="I44" s="1062"/>
      <c r="J44" s="98" t="s">
        <v>934</v>
      </c>
    </row>
    <row r="45" spans="1:29" ht="33" customHeight="1">
      <c r="G45" s="100" t="s">
        <v>935</v>
      </c>
      <c r="H45" s="1065" t="str">
        <f>D35</f>
        <v>홍길동</v>
      </c>
      <c r="I45" s="1065"/>
      <c r="J45" s="98" t="s">
        <v>936</v>
      </c>
    </row>
    <row r="46" spans="1:29" s="195" customFormat="1" ht="33" customHeight="1">
      <c r="A46" s="215"/>
      <c r="G46" s="492" t="s">
        <v>937</v>
      </c>
      <c r="H46" s="1066"/>
      <c r="I46" s="1066"/>
      <c r="J46" s="493" t="s">
        <v>936</v>
      </c>
      <c r="L46" s="196"/>
      <c r="W46"/>
      <c r="X46"/>
      <c r="Y46"/>
      <c r="Z46"/>
      <c r="AA46"/>
      <c r="AB46"/>
      <c r="AC46"/>
    </row>
    <row r="47" spans="1:29" ht="33" customHeight="1">
      <c r="G47" s="100" t="s">
        <v>938</v>
      </c>
      <c r="H47" s="1065" t="s">
        <v>1350</v>
      </c>
      <c r="I47" s="1065"/>
      <c r="J47" s="98" t="s">
        <v>936</v>
      </c>
    </row>
    <row r="48" spans="1:29" ht="12.75" customHeight="1">
      <c r="B48" s="1054"/>
      <c r="C48" s="1054"/>
      <c r="D48" s="1054"/>
      <c r="E48" s="1054"/>
      <c r="F48" s="1054"/>
      <c r="G48" s="1054"/>
      <c r="H48" s="1054"/>
      <c r="I48" s="1054"/>
      <c r="J48" s="1054"/>
      <c r="K48" s="1054"/>
      <c r="L48" s="208"/>
    </row>
    <row r="89" spans="1:1">
      <c r="A89" s="216"/>
    </row>
    <row r="90" spans="1:1">
      <c r="A90" s="216"/>
    </row>
    <row r="91" spans="1:1">
      <c r="A91" s="216"/>
    </row>
  </sheetData>
  <mergeCells count="115">
    <mergeCell ref="B4:K4"/>
    <mergeCell ref="B5:K5"/>
    <mergeCell ref="M2:V2"/>
    <mergeCell ref="B10:B11"/>
    <mergeCell ref="C10:E11"/>
    <mergeCell ref="F10:F11"/>
    <mergeCell ref="G10:J10"/>
    <mergeCell ref="G11:H11"/>
    <mergeCell ref="I11:J11"/>
    <mergeCell ref="B6:K7"/>
    <mergeCell ref="M9:U20"/>
    <mergeCell ref="C12:K12"/>
    <mergeCell ref="C13:K13"/>
    <mergeCell ref="C14:F14"/>
    <mergeCell ref="G14:K14"/>
    <mergeCell ref="B15:K15"/>
    <mergeCell ref="C17:K17"/>
    <mergeCell ref="C18:D18"/>
    <mergeCell ref="B8:K8"/>
    <mergeCell ref="C9:E9"/>
    <mergeCell ref="G9:H9"/>
    <mergeCell ref="I9:J9"/>
    <mergeCell ref="B16:K16"/>
    <mergeCell ref="B24:C24"/>
    <mergeCell ref="D24:F24"/>
    <mergeCell ref="G24:I24"/>
    <mergeCell ref="J24:K24"/>
    <mergeCell ref="B20:K20"/>
    <mergeCell ref="B21:K21"/>
    <mergeCell ref="B22:C23"/>
    <mergeCell ref="D22:F23"/>
    <mergeCell ref="G22:I23"/>
    <mergeCell ref="J22:K23"/>
    <mergeCell ref="B36:C36"/>
    <mergeCell ref="D36:F36"/>
    <mergeCell ref="H36:K36"/>
    <mergeCell ref="B33:C33"/>
    <mergeCell ref="D33:G33"/>
    <mergeCell ref="B25:C25"/>
    <mergeCell ref="D25:F25"/>
    <mergeCell ref="G25:I25"/>
    <mergeCell ref="J25:K25"/>
    <mergeCell ref="B31:C31"/>
    <mergeCell ref="D31:K31"/>
    <mergeCell ref="B28:K28"/>
    <mergeCell ref="B29:K29"/>
    <mergeCell ref="B27:K27"/>
    <mergeCell ref="W1:AC1"/>
    <mergeCell ref="W2:AC2"/>
    <mergeCell ref="W3:AC3"/>
    <mergeCell ref="W4:AC4"/>
    <mergeCell ref="W5:AC5"/>
    <mergeCell ref="H33:K33"/>
    <mergeCell ref="B48:K48"/>
    <mergeCell ref="B37:C37"/>
    <mergeCell ref="D37:G37"/>
    <mergeCell ref="H37:K37"/>
    <mergeCell ref="B40:K40"/>
    <mergeCell ref="B41:K41"/>
    <mergeCell ref="H44:I44"/>
    <mergeCell ref="B26:K26"/>
    <mergeCell ref="B30:K30"/>
    <mergeCell ref="H45:I45"/>
    <mergeCell ref="H46:I46"/>
    <mergeCell ref="H47:I47"/>
    <mergeCell ref="B32:C32"/>
    <mergeCell ref="D32:F32"/>
    <mergeCell ref="H32:K32"/>
    <mergeCell ref="B34:K34"/>
    <mergeCell ref="B35:C35"/>
    <mergeCell ref="D35:K35"/>
    <mergeCell ref="Z6:AA6"/>
    <mergeCell ref="Z7:AC7"/>
    <mergeCell ref="X8:AC8"/>
    <mergeCell ref="X9:Z9"/>
    <mergeCell ref="AA9:AC9"/>
    <mergeCell ref="X16:Z16"/>
    <mergeCell ref="X17:Z17"/>
    <mergeCell ref="X18:Z18"/>
    <mergeCell ref="W10:AC10"/>
    <mergeCell ref="W11:AC11"/>
    <mergeCell ref="W12:AC12"/>
    <mergeCell ref="W13:AC13"/>
    <mergeCell ref="X14:Z14"/>
    <mergeCell ref="AA14:AB14"/>
    <mergeCell ref="W15:W23"/>
    <mergeCell ref="AC15:AC23"/>
    <mergeCell ref="AA15:AB15"/>
    <mergeCell ref="AA16:AB16"/>
    <mergeCell ref="AA17:AB17"/>
    <mergeCell ref="AA18:AB18"/>
    <mergeCell ref="AA19:AB20"/>
    <mergeCell ref="X19:Z20"/>
    <mergeCell ref="X21:Z21"/>
    <mergeCell ref="AA21:AB21"/>
    <mergeCell ref="X28:AC28"/>
    <mergeCell ref="X29:AA29"/>
    <mergeCell ref="X30:AA30"/>
    <mergeCell ref="AB30:AC30"/>
    <mergeCell ref="W24:AC26"/>
    <mergeCell ref="W27:AC27"/>
    <mergeCell ref="AA22:AB22"/>
    <mergeCell ref="AA23:AB23"/>
    <mergeCell ref="X22:Z22"/>
    <mergeCell ref="X23:Z23"/>
    <mergeCell ref="W31:AC31"/>
    <mergeCell ref="W39:AC39"/>
    <mergeCell ref="X37:AC38"/>
    <mergeCell ref="W42:AC42"/>
    <mergeCell ref="W32:AC32"/>
    <mergeCell ref="W33:AC33"/>
    <mergeCell ref="W34:AC34"/>
    <mergeCell ref="W35:AC35"/>
    <mergeCell ref="W36:AC36"/>
    <mergeCell ref="AA40:AB40"/>
  </mergeCells>
  <phoneticPr fontId="4" type="noConversion"/>
  <dataValidations disablePrompts="1" count="2">
    <dataValidation type="list" allowBlank="1" showInputMessage="1" showErrorMessage="1" sqref="I11:J11 IO11:IP11 SK11:SL11 ACG11:ACH11 AMC11:AMD11 AVY11:AVZ11 BFU11:BFV11 BPQ11:BPR11 BZM11:BZN11 CJI11:CJJ11 CTE11:CTF11 DDA11:DDB11 DMW11:DMX11 DWS11:DWT11 EGO11:EGP11 EQK11:EQL11 FAG11:FAH11 FKC11:FKD11 FTY11:FTZ11 GDU11:GDV11 GNQ11:GNR11 GXM11:GXN11 HHI11:HHJ11 HRE11:HRF11 IBA11:IBB11 IKW11:IKX11 IUS11:IUT11 JEO11:JEP11 JOK11:JOL11 JYG11:JYH11 KIC11:KID11 KRY11:KRZ11 LBU11:LBV11 LLQ11:LLR11 LVM11:LVN11 MFI11:MFJ11 MPE11:MPF11 MZA11:MZB11 NIW11:NIX11 NSS11:NST11 OCO11:OCP11 OMK11:OML11 OWG11:OWH11 PGC11:PGD11 PPY11:PPZ11 PZU11:PZV11 QJQ11:QJR11 QTM11:QTN11 RDI11:RDJ11 RNE11:RNF11 RXA11:RXB11 SGW11:SGX11 SQS11:SQT11 TAO11:TAP11 TKK11:TKL11 TUG11:TUH11 UEC11:UED11 UNY11:UNZ11 UXU11:UXV11 VHQ11:VHR11 VRM11:VRN11 WBI11:WBJ11 WLE11:WLF11 WVA11:WVB11 I65547:J65547 IO65547:IP65547 SK65547:SL65547 ACG65547:ACH65547 AMC65547:AMD65547 AVY65547:AVZ65547 BFU65547:BFV65547 BPQ65547:BPR65547 BZM65547:BZN65547 CJI65547:CJJ65547 CTE65547:CTF65547 DDA65547:DDB65547 DMW65547:DMX65547 DWS65547:DWT65547 EGO65547:EGP65547 EQK65547:EQL65547 FAG65547:FAH65547 FKC65547:FKD65547 FTY65547:FTZ65547 GDU65547:GDV65547 GNQ65547:GNR65547 GXM65547:GXN65547 HHI65547:HHJ65547 HRE65547:HRF65547 IBA65547:IBB65547 IKW65547:IKX65547 IUS65547:IUT65547 JEO65547:JEP65547 JOK65547:JOL65547 JYG65547:JYH65547 KIC65547:KID65547 KRY65547:KRZ65547 LBU65547:LBV65547 LLQ65547:LLR65547 LVM65547:LVN65547 MFI65547:MFJ65547 MPE65547:MPF65547 MZA65547:MZB65547 NIW65547:NIX65547 NSS65547:NST65547 OCO65547:OCP65547 OMK65547:OML65547 OWG65547:OWH65547 PGC65547:PGD65547 PPY65547:PPZ65547 PZU65547:PZV65547 QJQ65547:QJR65547 QTM65547:QTN65547 RDI65547:RDJ65547 RNE65547:RNF65547 RXA65547:RXB65547 SGW65547:SGX65547 SQS65547:SQT65547 TAO65547:TAP65547 TKK65547:TKL65547 TUG65547:TUH65547 UEC65547:UED65547 UNY65547:UNZ65547 UXU65547:UXV65547 VHQ65547:VHR65547 VRM65547:VRN65547 WBI65547:WBJ65547 WLE65547:WLF65547 WVA65547:WVB65547 I131083:J131083 IO131083:IP131083 SK131083:SL131083 ACG131083:ACH131083 AMC131083:AMD131083 AVY131083:AVZ131083 BFU131083:BFV131083 BPQ131083:BPR131083 BZM131083:BZN131083 CJI131083:CJJ131083 CTE131083:CTF131083 DDA131083:DDB131083 DMW131083:DMX131083 DWS131083:DWT131083 EGO131083:EGP131083 EQK131083:EQL131083 FAG131083:FAH131083 FKC131083:FKD131083 FTY131083:FTZ131083 GDU131083:GDV131083 GNQ131083:GNR131083 GXM131083:GXN131083 HHI131083:HHJ131083 HRE131083:HRF131083 IBA131083:IBB131083 IKW131083:IKX131083 IUS131083:IUT131083 JEO131083:JEP131083 JOK131083:JOL131083 JYG131083:JYH131083 KIC131083:KID131083 KRY131083:KRZ131083 LBU131083:LBV131083 LLQ131083:LLR131083 LVM131083:LVN131083 MFI131083:MFJ131083 MPE131083:MPF131083 MZA131083:MZB131083 NIW131083:NIX131083 NSS131083:NST131083 OCO131083:OCP131083 OMK131083:OML131083 OWG131083:OWH131083 PGC131083:PGD131083 PPY131083:PPZ131083 PZU131083:PZV131083 QJQ131083:QJR131083 QTM131083:QTN131083 RDI131083:RDJ131083 RNE131083:RNF131083 RXA131083:RXB131083 SGW131083:SGX131083 SQS131083:SQT131083 TAO131083:TAP131083 TKK131083:TKL131083 TUG131083:TUH131083 UEC131083:UED131083 UNY131083:UNZ131083 UXU131083:UXV131083 VHQ131083:VHR131083 VRM131083:VRN131083 WBI131083:WBJ131083 WLE131083:WLF131083 WVA131083:WVB131083 I196619:J196619 IO196619:IP196619 SK196619:SL196619 ACG196619:ACH196619 AMC196619:AMD196619 AVY196619:AVZ196619 BFU196619:BFV196619 BPQ196619:BPR196619 BZM196619:BZN196619 CJI196619:CJJ196619 CTE196619:CTF196619 DDA196619:DDB196619 DMW196619:DMX196619 DWS196619:DWT196619 EGO196619:EGP196619 EQK196619:EQL196619 FAG196619:FAH196619 FKC196619:FKD196619 FTY196619:FTZ196619 GDU196619:GDV196619 GNQ196619:GNR196619 GXM196619:GXN196619 HHI196619:HHJ196619 HRE196619:HRF196619 IBA196619:IBB196619 IKW196619:IKX196619 IUS196619:IUT196619 JEO196619:JEP196619 JOK196619:JOL196619 JYG196619:JYH196619 KIC196619:KID196619 KRY196619:KRZ196619 LBU196619:LBV196619 LLQ196619:LLR196619 LVM196619:LVN196619 MFI196619:MFJ196619 MPE196619:MPF196619 MZA196619:MZB196619 NIW196619:NIX196619 NSS196619:NST196619 OCO196619:OCP196619 OMK196619:OML196619 OWG196619:OWH196619 PGC196619:PGD196619 PPY196619:PPZ196619 PZU196619:PZV196619 QJQ196619:QJR196619 QTM196619:QTN196619 RDI196619:RDJ196619 RNE196619:RNF196619 RXA196619:RXB196619 SGW196619:SGX196619 SQS196619:SQT196619 TAO196619:TAP196619 TKK196619:TKL196619 TUG196619:TUH196619 UEC196619:UED196619 UNY196619:UNZ196619 UXU196619:UXV196619 VHQ196619:VHR196619 VRM196619:VRN196619 WBI196619:WBJ196619 WLE196619:WLF196619 WVA196619:WVB196619 I262155:J262155 IO262155:IP262155 SK262155:SL262155 ACG262155:ACH262155 AMC262155:AMD262155 AVY262155:AVZ262155 BFU262155:BFV262155 BPQ262155:BPR262155 BZM262155:BZN262155 CJI262155:CJJ262155 CTE262155:CTF262155 DDA262155:DDB262155 DMW262155:DMX262155 DWS262155:DWT262155 EGO262155:EGP262155 EQK262155:EQL262155 FAG262155:FAH262155 FKC262155:FKD262155 FTY262155:FTZ262155 GDU262155:GDV262155 GNQ262155:GNR262155 GXM262155:GXN262155 HHI262155:HHJ262155 HRE262155:HRF262155 IBA262155:IBB262155 IKW262155:IKX262155 IUS262155:IUT262155 JEO262155:JEP262155 JOK262155:JOL262155 JYG262155:JYH262155 KIC262155:KID262155 KRY262155:KRZ262155 LBU262155:LBV262155 LLQ262155:LLR262155 LVM262155:LVN262155 MFI262155:MFJ262155 MPE262155:MPF262155 MZA262155:MZB262155 NIW262155:NIX262155 NSS262155:NST262155 OCO262155:OCP262155 OMK262155:OML262155 OWG262155:OWH262155 PGC262155:PGD262155 PPY262155:PPZ262155 PZU262155:PZV262155 QJQ262155:QJR262155 QTM262155:QTN262155 RDI262155:RDJ262155 RNE262155:RNF262155 RXA262155:RXB262155 SGW262155:SGX262155 SQS262155:SQT262155 TAO262155:TAP262155 TKK262155:TKL262155 TUG262155:TUH262155 UEC262155:UED262155 UNY262155:UNZ262155 UXU262155:UXV262155 VHQ262155:VHR262155 VRM262155:VRN262155 WBI262155:WBJ262155 WLE262155:WLF262155 WVA262155:WVB262155 I327691:J327691 IO327691:IP327691 SK327691:SL327691 ACG327691:ACH327691 AMC327691:AMD327691 AVY327691:AVZ327691 BFU327691:BFV327691 BPQ327691:BPR327691 BZM327691:BZN327691 CJI327691:CJJ327691 CTE327691:CTF327691 DDA327691:DDB327691 DMW327691:DMX327691 DWS327691:DWT327691 EGO327691:EGP327691 EQK327691:EQL327691 FAG327691:FAH327691 FKC327691:FKD327691 FTY327691:FTZ327691 GDU327691:GDV327691 GNQ327691:GNR327691 GXM327691:GXN327691 HHI327691:HHJ327691 HRE327691:HRF327691 IBA327691:IBB327691 IKW327691:IKX327691 IUS327691:IUT327691 JEO327691:JEP327691 JOK327691:JOL327691 JYG327691:JYH327691 KIC327691:KID327691 KRY327691:KRZ327691 LBU327691:LBV327691 LLQ327691:LLR327691 LVM327691:LVN327691 MFI327691:MFJ327691 MPE327691:MPF327691 MZA327691:MZB327691 NIW327691:NIX327691 NSS327691:NST327691 OCO327691:OCP327691 OMK327691:OML327691 OWG327691:OWH327691 PGC327691:PGD327691 PPY327691:PPZ327691 PZU327691:PZV327691 QJQ327691:QJR327691 QTM327691:QTN327691 RDI327691:RDJ327691 RNE327691:RNF327691 RXA327691:RXB327691 SGW327691:SGX327691 SQS327691:SQT327691 TAO327691:TAP327691 TKK327691:TKL327691 TUG327691:TUH327691 UEC327691:UED327691 UNY327691:UNZ327691 UXU327691:UXV327691 VHQ327691:VHR327691 VRM327691:VRN327691 WBI327691:WBJ327691 WLE327691:WLF327691 WVA327691:WVB327691 I393227:J393227 IO393227:IP393227 SK393227:SL393227 ACG393227:ACH393227 AMC393227:AMD393227 AVY393227:AVZ393227 BFU393227:BFV393227 BPQ393227:BPR393227 BZM393227:BZN393227 CJI393227:CJJ393227 CTE393227:CTF393227 DDA393227:DDB393227 DMW393227:DMX393227 DWS393227:DWT393227 EGO393227:EGP393227 EQK393227:EQL393227 FAG393227:FAH393227 FKC393227:FKD393227 FTY393227:FTZ393227 GDU393227:GDV393227 GNQ393227:GNR393227 GXM393227:GXN393227 HHI393227:HHJ393227 HRE393227:HRF393227 IBA393227:IBB393227 IKW393227:IKX393227 IUS393227:IUT393227 JEO393227:JEP393227 JOK393227:JOL393227 JYG393227:JYH393227 KIC393227:KID393227 KRY393227:KRZ393227 LBU393227:LBV393227 LLQ393227:LLR393227 LVM393227:LVN393227 MFI393227:MFJ393227 MPE393227:MPF393227 MZA393227:MZB393227 NIW393227:NIX393227 NSS393227:NST393227 OCO393227:OCP393227 OMK393227:OML393227 OWG393227:OWH393227 PGC393227:PGD393227 PPY393227:PPZ393227 PZU393227:PZV393227 QJQ393227:QJR393227 QTM393227:QTN393227 RDI393227:RDJ393227 RNE393227:RNF393227 RXA393227:RXB393227 SGW393227:SGX393227 SQS393227:SQT393227 TAO393227:TAP393227 TKK393227:TKL393227 TUG393227:TUH393227 UEC393227:UED393227 UNY393227:UNZ393227 UXU393227:UXV393227 VHQ393227:VHR393227 VRM393227:VRN393227 WBI393227:WBJ393227 WLE393227:WLF393227 WVA393227:WVB393227 I458763:J458763 IO458763:IP458763 SK458763:SL458763 ACG458763:ACH458763 AMC458763:AMD458763 AVY458763:AVZ458763 BFU458763:BFV458763 BPQ458763:BPR458763 BZM458763:BZN458763 CJI458763:CJJ458763 CTE458763:CTF458763 DDA458763:DDB458763 DMW458763:DMX458763 DWS458763:DWT458763 EGO458763:EGP458763 EQK458763:EQL458763 FAG458763:FAH458763 FKC458763:FKD458763 FTY458763:FTZ458763 GDU458763:GDV458763 GNQ458763:GNR458763 GXM458763:GXN458763 HHI458763:HHJ458763 HRE458763:HRF458763 IBA458763:IBB458763 IKW458763:IKX458763 IUS458763:IUT458763 JEO458763:JEP458763 JOK458763:JOL458763 JYG458763:JYH458763 KIC458763:KID458763 KRY458763:KRZ458763 LBU458763:LBV458763 LLQ458763:LLR458763 LVM458763:LVN458763 MFI458763:MFJ458763 MPE458763:MPF458763 MZA458763:MZB458763 NIW458763:NIX458763 NSS458763:NST458763 OCO458763:OCP458763 OMK458763:OML458763 OWG458763:OWH458763 PGC458763:PGD458763 PPY458763:PPZ458763 PZU458763:PZV458763 QJQ458763:QJR458763 QTM458763:QTN458763 RDI458763:RDJ458763 RNE458763:RNF458763 RXA458763:RXB458763 SGW458763:SGX458763 SQS458763:SQT458763 TAO458763:TAP458763 TKK458763:TKL458763 TUG458763:TUH458763 UEC458763:UED458763 UNY458763:UNZ458763 UXU458763:UXV458763 VHQ458763:VHR458763 VRM458763:VRN458763 WBI458763:WBJ458763 WLE458763:WLF458763 WVA458763:WVB458763 I524299:J524299 IO524299:IP524299 SK524299:SL524299 ACG524299:ACH524299 AMC524299:AMD524299 AVY524299:AVZ524299 BFU524299:BFV524299 BPQ524299:BPR524299 BZM524299:BZN524299 CJI524299:CJJ524299 CTE524299:CTF524299 DDA524299:DDB524299 DMW524299:DMX524299 DWS524299:DWT524299 EGO524299:EGP524299 EQK524299:EQL524299 FAG524299:FAH524299 FKC524299:FKD524299 FTY524299:FTZ524299 GDU524299:GDV524299 GNQ524299:GNR524299 GXM524299:GXN524299 HHI524299:HHJ524299 HRE524299:HRF524299 IBA524299:IBB524299 IKW524299:IKX524299 IUS524299:IUT524299 JEO524299:JEP524299 JOK524299:JOL524299 JYG524299:JYH524299 KIC524299:KID524299 KRY524299:KRZ524299 LBU524299:LBV524299 LLQ524299:LLR524299 LVM524299:LVN524299 MFI524299:MFJ524299 MPE524299:MPF524299 MZA524299:MZB524299 NIW524299:NIX524299 NSS524299:NST524299 OCO524299:OCP524299 OMK524299:OML524299 OWG524299:OWH524299 PGC524299:PGD524299 PPY524299:PPZ524299 PZU524299:PZV524299 QJQ524299:QJR524299 QTM524299:QTN524299 RDI524299:RDJ524299 RNE524299:RNF524299 RXA524299:RXB524299 SGW524299:SGX524299 SQS524299:SQT524299 TAO524299:TAP524299 TKK524299:TKL524299 TUG524299:TUH524299 UEC524299:UED524299 UNY524299:UNZ524299 UXU524299:UXV524299 VHQ524299:VHR524299 VRM524299:VRN524299 WBI524299:WBJ524299 WLE524299:WLF524299 WVA524299:WVB524299 I589835:J589835 IO589835:IP589835 SK589835:SL589835 ACG589835:ACH589835 AMC589835:AMD589835 AVY589835:AVZ589835 BFU589835:BFV589835 BPQ589835:BPR589835 BZM589835:BZN589835 CJI589835:CJJ589835 CTE589835:CTF589835 DDA589835:DDB589835 DMW589835:DMX589835 DWS589835:DWT589835 EGO589835:EGP589835 EQK589835:EQL589835 FAG589835:FAH589835 FKC589835:FKD589835 FTY589835:FTZ589835 GDU589835:GDV589835 GNQ589835:GNR589835 GXM589835:GXN589835 HHI589835:HHJ589835 HRE589835:HRF589835 IBA589835:IBB589835 IKW589835:IKX589835 IUS589835:IUT589835 JEO589835:JEP589835 JOK589835:JOL589835 JYG589835:JYH589835 KIC589835:KID589835 KRY589835:KRZ589835 LBU589835:LBV589835 LLQ589835:LLR589835 LVM589835:LVN589835 MFI589835:MFJ589835 MPE589835:MPF589835 MZA589835:MZB589835 NIW589835:NIX589835 NSS589835:NST589835 OCO589835:OCP589835 OMK589835:OML589835 OWG589835:OWH589835 PGC589835:PGD589835 PPY589835:PPZ589835 PZU589835:PZV589835 QJQ589835:QJR589835 QTM589835:QTN589835 RDI589835:RDJ589835 RNE589835:RNF589835 RXA589835:RXB589835 SGW589835:SGX589835 SQS589835:SQT589835 TAO589835:TAP589835 TKK589835:TKL589835 TUG589835:TUH589835 UEC589835:UED589835 UNY589835:UNZ589835 UXU589835:UXV589835 VHQ589835:VHR589835 VRM589835:VRN589835 WBI589835:WBJ589835 WLE589835:WLF589835 WVA589835:WVB589835 I655371:J655371 IO655371:IP655371 SK655371:SL655371 ACG655371:ACH655371 AMC655371:AMD655371 AVY655371:AVZ655371 BFU655371:BFV655371 BPQ655371:BPR655371 BZM655371:BZN655371 CJI655371:CJJ655371 CTE655371:CTF655371 DDA655371:DDB655371 DMW655371:DMX655371 DWS655371:DWT655371 EGO655371:EGP655371 EQK655371:EQL655371 FAG655371:FAH655371 FKC655371:FKD655371 FTY655371:FTZ655371 GDU655371:GDV655371 GNQ655371:GNR655371 GXM655371:GXN655371 HHI655371:HHJ655371 HRE655371:HRF655371 IBA655371:IBB655371 IKW655371:IKX655371 IUS655371:IUT655371 JEO655371:JEP655371 JOK655371:JOL655371 JYG655371:JYH655371 KIC655371:KID655371 KRY655371:KRZ655371 LBU655371:LBV655371 LLQ655371:LLR655371 LVM655371:LVN655371 MFI655371:MFJ655371 MPE655371:MPF655371 MZA655371:MZB655371 NIW655371:NIX655371 NSS655371:NST655371 OCO655371:OCP655371 OMK655371:OML655371 OWG655371:OWH655371 PGC655371:PGD655371 PPY655371:PPZ655371 PZU655371:PZV655371 QJQ655371:QJR655371 QTM655371:QTN655371 RDI655371:RDJ655371 RNE655371:RNF655371 RXA655371:RXB655371 SGW655371:SGX655371 SQS655371:SQT655371 TAO655371:TAP655371 TKK655371:TKL655371 TUG655371:TUH655371 UEC655371:UED655371 UNY655371:UNZ655371 UXU655371:UXV655371 VHQ655371:VHR655371 VRM655371:VRN655371 WBI655371:WBJ655371 WLE655371:WLF655371 WVA655371:WVB655371 I720907:J720907 IO720907:IP720907 SK720907:SL720907 ACG720907:ACH720907 AMC720907:AMD720907 AVY720907:AVZ720907 BFU720907:BFV720907 BPQ720907:BPR720907 BZM720907:BZN720907 CJI720907:CJJ720907 CTE720907:CTF720907 DDA720907:DDB720907 DMW720907:DMX720907 DWS720907:DWT720907 EGO720907:EGP720907 EQK720907:EQL720907 FAG720907:FAH720907 FKC720907:FKD720907 FTY720907:FTZ720907 GDU720907:GDV720907 GNQ720907:GNR720907 GXM720907:GXN720907 HHI720907:HHJ720907 HRE720907:HRF720907 IBA720907:IBB720907 IKW720907:IKX720907 IUS720907:IUT720907 JEO720907:JEP720907 JOK720907:JOL720907 JYG720907:JYH720907 KIC720907:KID720907 KRY720907:KRZ720907 LBU720907:LBV720907 LLQ720907:LLR720907 LVM720907:LVN720907 MFI720907:MFJ720907 MPE720907:MPF720907 MZA720907:MZB720907 NIW720907:NIX720907 NSS720907:NST720907 OCO720907:OCP720907 OMK720907:OML720907 OWG720907:OWH720907 PGC720907:PGD720907 PPY720907:PPZ720907 PZU720907:PZV720907 QJQ720907:QJR720907 QTM720907:QTN720907 RDI720907:RDJ720907 RNE720907:RNF720907 RXA720907:RXB720907 SGW720907:SGX720907 SQS720907:SQT720907 TAO720907:TAP720907 TKK720907:TKL720907 TUG720907:TUH720907 UEC720907:UED720907 UNY720907:UNZ720907 UXU720907:UXV720907 VHQ720907:VHR720907 VRM720907:VRN720907 WBI720907:WBJ720907 WLE720907:WLF720907 WVA720907:WVB720907 I786443:J786443 IO786443:IP786443 SK786443:SL786443 ACG786443:ACH786443 AMC786443:AMD786443 AVY786443:AVZ786443 BFU786443:BFV786443 BPQ786443:BPR786443 BZM786443:BZN786443 CJI786443:CJJ786443 CTE786443:CTF786443 DDA786443:DDB786443 DMW786443:DMX786443 DWS786443:DWT786443 EGO786443:EGP786443 EQK786443:EQL786443 FAG786443:FAH786443 FKC786443:FKD786443 FTY786443:FTZ786443 GDU786443:GDV786443 GNQ786443:GNR786443 GXM786443:GXN786443 HHI786443:HHJ786443 HRE786443:HRF786443 IBA786443:IBB786443 IKW786443:IKX786443 IUS786443:IUT786443 JEO786443:JEP786443 JOK786443:JOL786443 JYG786443:JYH786443 KIC786443:KID786443 KRY786443:KRZ786443 LBU786443:LBV786443 LLQ786443:LLR786443 LVM786443:LVN786443 MFI786443:MFJ786443 MPE786443:MPF786443 MZA786443:MZB786443 NIW786443:NIX786443 NSS786443:NST786443 OCO786443:OCP786443 OMK786443:OML786443 OWG786443:OWH786443 PGC786443:PGD786443 PPY786443:PPZ786443 PZU786443:PZV786443 QJQ786443:QJR786443 QTM786443:QTN786443 RDI786443:RDJ786443 RNE786443:RNF786443 RXA786443:RXB786443 SGW786443:SGX786443 SQS786443:SQT786443 TAO786443:TAP786443 TKK786443:TKL786443 TUG786443:TUH786443 UEC786443:UED786443 UNY786443:UNZ786443 UXU786443:UXV786443 VHQ786443:VHR786443 VRM786443:VRN786443 WBI786443:WBJ786443 WLE786443:WLF786443 WVA786443:WVB786443 I851979:J851979 IO851979:IP851979 SK851979:SL851979 ACG851979:ACH851979 AMC851979:AMD851979 AVY851979:AVZ851979 BFU851979:BFV851979 BPQ851979:BPR851979 BZM851979:BZN851979 CJI851979:CJJ851979 CTE851979:CTF851979 DDA851979:DDB851979 DMW851979:DMX851979 DWS851979:DWT851979 EGO851979:EGP851979 EQK851979:EQL851979 FAG851979:FAH851979 FKC851979:FKD851979 FTY851979:FTZ851979 GDU851979:GDV851979 GNQ851979:GNR851979 GXM851979:GXN851979 HHI851979:HHJ851979 HRE851979:HRF851979 IBA851979:IBB851979 IKW851979:IKX851979 IUS851979:IUT851979 JEO851979:JEP851979 JOK851979:JOL851979 JYG851979:JYH851979 KIC851979:KID851979 KRY851979:KRZ851979 LBU851979:LBV851979 LLQ851979:LLR851979 LVM851979:LVN851979 MFI851979:MFJ851979 MPE851979:MPF851979 MZA851979:MZB851979 NIW851979:NIX851979 NSS851979:NST851979 OCO851979:OCP851979 OMK851979:OML851979 OWG851979:OWH851979 PGC851979:PGD851979 PPY851979:PPZ851979 PZU851979:PZV851979 QJQ851979:QJR851979 QTM851979:QTN851979 RDI851979:RDJ851979 RNE851979:RNF851979 RXA851979:RXB851979 SGW851979:SGX851979 SQS851979:SQT851979 TAO851979:TAP851979 TKK851979:TKL851979 TUG851979:TUH851979 UEC851979:UED851979 UNY851979:UNZ851979 UXU851979:UXV851979 VHQ851979:VHR851979 VRM851979:VRN851979 WBI851979:WBJ851979 WLE851979:WLF851979 WVA851979:WVB851979 I917515:J917515 IO917515:IP917515 SK917515:SL917515 ACG917515:ACH917515 AMC917515:AMD917515 AVY917515:AVZ917515 BFU917515:BFV917515 BPQ917515:BPR917515 BZM917515:BZN917515 CJI917515:CJJ917515 CTE917515:CTF917515 DDA917515:DDB917515 DMW917515:DMX917515 DWS917515:DWT917515 EGO917515:EGP917515 EQK917515:EQL917515 FAG917515:FAH917515 FKC917515:FKD917515 FTY917515:FTZ917515 GDU917515:GDV917515 GNQ917515:GNR917515 GXM917515:GXN917515 HHI917515:HHJ917515 HRE917515:HRF917515 IBA917515:IBB917515 IKW917515:IKX917515 IUS917515:IUT917515 JEO917515:JEP917515 JOK917515:JOL917515 JYG917515:JYH917515 KIC917515:KID917515 KRY917515:KRZ917515 LBU917515:LBV917515 LLQ917515:LLR917515 LVM917515:LVN917515 MFI917515:MFJ917515 MPE917515:MPF917515 MZA917515:MZB917515 NIW917515:NIX917515 NSS917515:NST917515 OCO917515:OCP917515 OMK917515:OML917515 OWG917515:OWH917515 PGC917515:PGD917515 PPY917515:PPZ917515 PZU917515:PZV917515 QJQ917515:QJR917515 QTM917515:QTN917515 RDI917515:RDJ917515 RNE917515:RNF917515 RXA917515:RXB917515 SGW917515:SGX917515 SQS917515:SQT917515 TAO917515:TAP917515 TKK917515:TKL917515 TUG917515:TUH917515 UEC917515:UED917515 UNY917515:UNZ917515 UXU917515:UXV917515 VHQ917515:VHR917515 VRM917515:VRN917515 WBI917515:WBJ917515 WLE917515:WLF917515 WVA917515:WVB917515 I983051:J983051 IO983051:IP983051 SK983051:SL983051 ACG983051:ACH983051 AMC983051:AMD983051 AVY983051:AVZ983051 BFU983051:BFV983051 BPQ983051:BPR983051 BZM983051:BZN983051 CJI983051:CJJ983051 CTE983051:CTF983051 DDA983051:DDB983051 DMW983051:DMX983051 DWS983051:DWT983051 EGO983051:EGP983051 EQK983051:EQL983051 FAG983051:FAH983051 FKC983051:FKD983051 FTY983051:FTZ983051 GDU983051:GDV983051 GNQ983051:GNR983051 GXM983051:GXN983051 HHI983051:HHJ983051 HRE983051:HRF983051 IBA983051:IBB983051 IKW983051:IKX983051 IUS983051:IUT983051 JEO983051:JEP983051 JOK983051:JOL983051 JYG983051:JYH983051 KIC983051:KID983051 KRY983051:KRZ983051 LBU983051:LBV983051 LLQ983051:LLR983051 LVM983051:LVN983051 MFI983051:MFJ983051 MPE983051:MPF983051 MZA983051:MZB983051 NIW983051:NIX983051 NSS983051:NST983051 OCO983051:OCP983051 OMK983051:OML983051 OWG983051:OWH983051 PGC983051:PGD983051 PPY983051:PPZ983051 PZU983051:PZV983051 QJQ983051:QJR983051 QTM983051:QTN983051 RDI983051:RDJ983051 RNE983051:RNF983051 RXA983051:RXB983051 SGW983051:SGX983051 SQS983051:SQT983051 TAO983051:TAP983051 TKK983051:TKL983051 TUG983051:TUH983051 UEC983051:UED983051 UNY983051:UNZ983051 UXU983051:UXV983051 VHQ983051:VHR983051 VRM983051:VRN983051 WBI983051:WBJ983051 WLE983051:WLF983051 WVA983051:WVB983051" xr:uid="{00000000-0002-0000-0700-000000000000}">
      <formula1>"재학, 수료, 휴학"</formula1>
    </dataValidation>
    <dataValidation type="list" allowBlank="1" showInputMessage="1" showErrorMessage="1" sqref="G11:H11 IM11:IN11 SI11:SJ11 ACE11:ACF11 AMA11:AMB11 AVW11:AVX11 BFS11:BFT11 BPO11:BPP11 BZK11:BZL11 CJG11:CJH11 CTC11:CTD11 DCY11:DCZ11 DMU11:DMV11 DWQ11:DWR11 EGM11:EGN11 EQI11:EQJ11 FAE11:FAF11 FKA11:FKB11 FTW11:FTX11 GDS11:GDT11 GNO11:GNP11 GXK11:GXL11 HHG11:HHH11 HRC11:HRD11 IAY11:IAZ11 IKU11:IKV11 IUQ11:IUR11 JEM11:JEN11 JOI11:JOJ11 JYE11:JYF11 KIA11:KIB11 KRW11:KRX11 LBS11:LBT11 LLO11:LLP11 LVK11:LVL11 MFG11:MFH11 MPC11:MPD11 MYY11:MYZ11 NIU11:NIV11 NSQ11:NSR11 OCM11:OCN11 OMI11:OMJ11 OWE11:OWF11 PGA11:PGB11 PPW11:PPX11 PZS11:PZT11 QJO11:QJP11 QTK11:QTL11 RDG11:RDH11 RNC11:RND11 RWY11:RWZ11 SGU11:SGV11 SQQ11:SQR11 TAM11:TAN11 TKI11:TKJ11 TUE11:TUF11 UEA11:UEB11 UNW11:UNX11 UXS11:UXT11 VHO11:VHP11 VRK11:VRL11 WBG11:WBH11 WLC11:WLD11 WUY11:WUZ11 G65547:H65547 IM65547:IN65547 SI65547:SJ65547 ACE65547:ACF65547 AMA65547:AMB65547 AVW65547:AVX65547 BFS65547:BFT65547 BPO65547:BPP65547 BZK65547:BZL65547 CJG65547:CJH65547 CTC65547:CTD65547 DCY65547:DCZ65547 DMU65547:DMV65547 DWQ65547:DWR65547 EGM65547:EGN65547 EQI65547:EQJ65547 FAE65547:FAF65547 FKA65547:FKB65547 FTW65547:FTX65547 GDS65547:GDT65547 GNO65547:GNP65547 GXK65547:GXL65547 HHG65547:HHH65547 HRC65547:HRD65547 IAY65547:IAZ65547 IKU65547:IKV65547 IUQ65547:IUR65547 JEM65547:JEN65547 JOI65547:JOJ65547 JYE65547:JYF65547 KIA65547:KIB65547 KRW65547:KRX65547 LBS65547:LBT65547 LLO65547:LLP65547 LVK65547:LVL65547 MFG65547:MFH65547 MPC65547:MPD65547 MYY65547:MYZ65547 NIU65547:NIV65547 NSQ65547:NSR65547 OCM65547:OCN65547 OMI65547:OMJ65547 OWE65547:OWF65547 PGA65547:PGB65547 PPW65547:PPX65547 PZS65547:PZT65547 QJO65547:QJP65547 QTK65547:QTL65547 RDG65547:RDH65547 RNC65547:RND65547 RWY65547:RWZ65547 SGU65547:SGV65547 SQQ65547:SQR65547 TAM65547:TAN65547 TKI65547:TKJ65547 TUE65547:TUF65547 UEA65547:UEB65547 UNW65547:UNX65547 UXS65547:UXT65547 VHO65547:VHP65547 VRK65547:VRL65547 WBG65547:WBH65547 WLC65547:WLD65547 WUY65547:WUZ65547 G131083:H131083 IM131083:IN131083 SI131083:SJ131083 ACE131083:ACF131083 AMA131083:AMB131083 AVW131083:AVX131083 BFS131083:BFT131083 BPO131083:BPP131083 BZK131083:BZL131083 CJG131083:CJH131083 CTC131083:CTD131083 DCY131083:DCZ131083 DMU131083:DMV131083 DWQ131083:DWR131083 EGM131083:EGN131083 EQI131083:EQJ131083 FAE131083:FAF131083 FKA131083:FKB131083 FTW131083:FTX131083 GDS131083:GDT131083 GNO131083:GNP131083 GXK131083:GXL131083 HHG131083:HHH131083 HRC131083:HRD131083 IAY131083:IAZ131083 IKU131083:IKV131083 IUQ131083:IUR131083 JEM131083:JEN131083 JOI131083:JOJ131083 JYE131083:JYF131083 KIA131083:KIB131083 KRW131083:KRX131083 LBS131083:LBT131083 LLO131083:LLP131083 LVK131083:LVL131083 MFG131083:MFH131083 MPC131083:MPD131083 MYY131083:MYZ131083 NIU131083:NIV131083 NSQ131083:NSR131083 OCM131083:OCN131083 OMI131083:OMJ131083 OWE131083:OWF131083 PGA131083:PGB131083 PPW131083:PPX131083 PZS131083:PZT131083 QJO131083:QJP131083 QTK131083:QTL131083 RDG131083:RDH131083 RNC131083:RND131083 RWY131083:RWZ131083 SGU131083:SGV131083 SQQ131083:SQR131083 TAM131083:TAN131083 TKI131083:TKJ131083 TUE131083:TUF131083 UEA131083:UEB131083 UNW131083:UNX131083 UXS131083:UXT131083 VHO131083:VHP131083 VRK131083:VRL131083 WBG131083:WBH131083 WLC131083:WLD131083 WUY131083:WUZ131083 G196619:H196619 IM196619:IN196619 SI196619:SJ196619 ACE196619:ACF196619 AMA196619:AMB196619 AVW196619:AVX196619 BFS196619:BFT196619 BPO196619:BPP196619 BZK196619:BZL196619 CJG196619:CJH196619 CTC196619:CTD196619 DCY196619:DCZ196619 DMU196619:DMV196619 DWQ196619:DWR196619 EGM196619:EGN196619 EQI196619:EQJ196619 FAE196619:FAF196619 FKA196619:FKB196619 FTW196619:FTX196619 GDS196619:GDT196619 GNO196619:GNP196619 GXK196619:GXL196619 HHG196619:HHH196619 HRC196619:HRD196619 IAY196619:IAZ196619 IKU196619:IKV196619 IUQ196619:IUR196619 JEM196619:JEN196619 JOI196619:JOJ196619 JYE196619:JYF196619 KIA196619:KIB196619 KRW196619:KRX196619 LBS196619:LBT196619 LLO196619:LLP196619 LVK196619:LVL196619 MFG196619:MFH196619 MPC196619:MPD196619 MYY196619:MYZ196619 NIU196619:NIV196619 NSQ196619:NSR196619 OCM196619:OCN196619 OMI196619:OMJ196619 OWE196619:OWF196619 PGA196619:PGB196619 PPW196619:PPX196619 PZS196619:PZT196619 QJO196619:QJP196619 QTK196619:QTL196619 RDG196619:RDH196619 RNC196619:RND196619 RWY196619:RWZ196619 SGU196619:SGV196619 SQQ196619:SQR196619 TAM196619:TAN196619 TKI196619:TKJ196619 TUE196619:TUF196619 UEA196619:UEB196619 UNW196619:UNX196619 UXS196619:UXT196619 VHO196619:VHP196619 VRK196619:VRL196619 WBG196619:WBH196619 WLC196619:WLD196619 WUY196619:WUZ196619 G262155:H262155 IM262155:IN262155 SI262155:SJ262155 ACE262155:ACF262155 AMA262155:AMB262155 AVW262155:AVX262155 BFS262155:BFT262155 BPO262155:BPP262155 BZK262155:BZL262155 CJG262155:CJH262155 CTC262155:CTD262155 DCY262155:DCZ262155 DMU262155:DMV262155 DWQ262155:DWR262155 EGM262155:EGN262155 EQI262155:EQJ262155 FAE262155:FAF262155 FKA262155:FKB262155 FTW262155:FTX262155 GDS262155:GDT262155 GNO262155:GNP262155 GXK262155:GXL262155 HHG262155:HHH262155 HRC262155:HRD262155 IAY262155:IAZ262155 IKU262155:IKV262155 IUQ262155:IUR262155 JEM262155:JEN262155 JOI262155:JOJ262155 JYE262155:JYF262155 KIA262155:KIB262155 KRW262155:KRX262155 LBS262155:LBT262155 LLO262155:LLP262155 LVK262155:LVL262155 MFG262155:MFH262155 MPC262155:MPD262155 MYY262155:MYZ262155 NIU262155:NIV262155 NSQ262155:NSR262155 OCM262155:OCN262155 OMI262155:OMJ262155 OWE262155:OWF262155 PGA262155:PGB262155 PPW262155:PPX262155 PZS262155:PZT262155 QJO262155:QJP262155 QTK262155:QTL262155 RDG262155:RDH262155 RNC262155:RND262155 RWY262155:RWZ262155 SGU262155:SGV262155 SQQ262155:SQR262155 TAM262155:TAN262155 TKI262155:TKJ262155 TUE262155:TUF262155 UEA262155:UEB262155 UNW262155:UNX262155 UXS262155:UXT262155 VHO262155:VHP262155 VRK262155:VRL262155 WBG262155:WBH262155 WLC262155:WLD262155 WUY262155:WUZ262155 G327691:H327691 IM327691:IN327691 SI327691:SJ327691 ACE327691:ACF327691 AMA327691:AMB327691 AVW327691:AVX327691 BFS327691:BFT327691 BPO327691:BPP327691 BZK327691:BZL327691 CJG327691:CJH327691 CTC327691:CTD327691 DCY327691:DCZ327691 DMU327691:DMV327691 DWQ327691:DWR327691 EGM327691:EGN327691 EQI327691:EQJ327691 FAE327691:FAF327691 FKA327691:FKB327691 FTW327691:FTX327691 GDS327691:GDT327691 GNO327691:GNP327691 GXK327691:GXL327691 HHG327691:HHH327691 HRC327691:HRD327691 IAY327691:IAZ327691 IKU327691:IKV327691 IUQ327691:IUR327691 JEM327691:JEN327691 JOI327691:JOJ327691 JYE327691:JYF327691 KIA327691:KIB327691 KRW327691:KRX327691 LBS327691:LBT327691 LLO327691:LLP327691 LVK327691:LVL327691 MFG327691:MFH327691 MPC327691:MPD327691 MYY327691:MYZ327691 NIU327691:NIV327691 NSQ327691:NSR327691 OCM327691:OCN327691 OMI327691:OMJ327691 OWE327691:OWF327691 PGA327691:PGB327691 PPW327691:PPX327691 PZS327691:PZT327691 QJO327691:QJP327691 QTK327691:QTL327691 RDG327691:RDH327691 RNC327691:RND327691 RWY327691:RWZ327691 SGU327691:SGV327691 SQQ327691:SQR327691 TAM327691:TAN327691 TKI327691:TKJ327691 TUE327691:TUF327691 UEA327691:UEB327691 UNW327691:UNX327691 UXS327691:UXT327691 VHO327691:VHP327691 VRK327691:VRL327691 WBG327691:WBH327691 WLC327691:WLD327691 WUY327691:WUZ327691 G393227:H393227 IM393227:IN393227 SI393227:SJ393227 ACE393227:ACF393227 AMA393227:AMB393227 AVW393227:AVX393227 BFS393227:BFT393227 BPO393227:BPP393227 BZK393227:BZL393227 CJG393227:CJH393227 CTC393227:CTD393227 DCY393227:DCZ393227 DMU393227:DMV393227 DWQ393227:DWR393227 EGM393227:EGN393227 EQI393227:EQJ393227 FAE393227:FAF393227 FKA393227:FKB393227 FTW393227:FTX393227 GDS393227:GDT393227 GNO393227:GNP393227 GXK393227:GXL393227 HHG393227:HHH393227 HRC393227:HRD393227 IAY393227:IAZ393227 IKU393227:IKV393227 IUQ393227:IUR393227 JEM393227:JEN393227 JOI393227:JOJ393227 JYE393227:JYF393227 KIA393227:KIB393227 KRW393227:KRX393227 LBS393227:LBT393227 LLO393227:LLP393227 LVK393227:LVL393227 MFG393227:MFH393227 MPC393227:MPD393227 MYY393227:MYZ393227 NIU393227:NIV393227 NSQ393227:NSR393227 OCM393227:OCN393227 OMI393227:OMJ393227 OWE393227:OWF393227 PGA393227:PGB393227 PPW393227:PPX393227 PZS393227:PZT393227 QJO393227:QJP393227 QTK393227:QTL393227 RDG393227:RDH393227 RNC393227:RND393227 RWY393227:RWZ393227 SGU393227:SGV393227 SQQ393227:SQR393227 TAM393227:TAN393227 TKI393227:TKJ393227 TUE393227:TUF393227 UEA393227:UEB393227 UNW393227:UNX393227 UXS393227:UXT393227 VHO393227:VHP393227 VRK393227:VRL393227 WBG393227:WBH393227 WLC393227:WLD393227 WUY393227:WUZ393227 G458763:H458763 IM458763:IN458763 SI458763:SJ458763 ACE458763:ACF458763 AMA458763:AMB458763 AVW458763:AVX458763 BFS458763:BFT458763 BPO458763:BPP458763 BZK458763:BZL458763 CJG458763:CJH458763 CTC458763:CTD458763 DCY458763:DCZ458763 DMU458763:DMV458763 DWQ458763:DWR458763 EGM458763:EGN458763 EQI458763:EQJ458763 FAE458763:FAF458763 FKA458763:FKB458763 FTW458763:FTX458763 GDS458763:GDT458763 GNO458763:GNP458763 GXK458763:GXL458763 HHG458763:HHH458763 HRC458763:HRD458763 IAY458763:IAZ458763 IKU458763:IKV458763 IUQ458763:IUR458763 JEM458763:JEN458763 JOI458763:JOJ458763 JYE458763:JYF458763 KIA458763:KIB458763 KRW458763:KRX458763 LBS458763:LBT458763 LLO458763:LLP458763 LVK458763:LVL458763 MFG458763:MFH458763 MPC458763:MPD458763 MYY458763:MYZ458763 NIU458763:NIV458763 NSQ458763:NSR458763 OCM458763:OCN458763 OMI458763:OMJ458763 OWE458763:OWF458763 PGA458763:PGB458763 PPW458763:PPX458763 PZS458763:PZT458763 QJO458763:QJP458763 QTK458763:QTL458763 RDG458763:RDH458763 RNC458763:RND458763 RWY458763:RWZ458763 SGU458763:SGV458763 SQQ458763:SQR458763 TAM458763:TAN458763 TKI458763:TKJ458763 TUE458763:TUF458763 UEA458763:UEB458763 UNW458763:UNX458763 UXS458763:UXT458763 VHO458763:VHP458763 VRK458763:VRL458763 WBG458763:WBH458763 WLC458763:WLD458763 WUY458763:WUZ458763 G524299:H524299 IM524299:IN524299 SI524299:SJ524299 ACE524299:ACF524299 AMA524299:AMB524299 AVW524299:AVX524299 BFS524299:BFT524299 BPO524299:BPP524299 BZK524299:BZL524299 CJG524299:CJH524299 CTC524299:CTD524299 DCY524299:DCZ524299 DMU524299:DMV524299 DWQ524299:DWR524299 EGM524299:EGN524299 EQI524299:EQJ524299 FAE524299:FAF524299 FKA524299:FKB524299 FTW524299:FTX524299 GDS524299:GDT524299 GNO524299:GNP524299 GXK524299:GXL524299 HHG524299:HHH524299 HRC524299:HRD524299 IAY524299:IAZ524299 IKU524299:IKV524299 IUQ524299:IUR524299 JEM524299:JEN524299 JOI524299:JOJ524299 JYE524299:JYF524299 KIA524299:KIB524299 KRW524299:KRX524299 LBS524299:LBT524299 LLO524299:LLP524299 LVK524299:LVL524299 MFG524299:MFH524299 MPC524299:MPD524299 MYY524299:MYZ524299 NIU524299:NIV524299 NSQ524299:NSR524299 OCM524299:OCN524299 OMI524299:OMJ524299 OWE524299:OWF524299 PGA524299:PGB524299 PPW524299:PPX524299 PZS524299:PZT524299 QJO524299:QJP524299 QTK524299:QTL524299 RDG524299:RDH524299 RNC524299:RND524299 RWY524299:RWZ524299 SGU524299:SGV524299 SQQ524299:SQR524299 TAM524299:TAN524299 TKI524299:TKJ524299 TUE524299:TUF524299 UEA524299:UEB524299 UNW524299:UNX524299 UXS524299:UXT524299 VHO524299:VHP524299 VRK524299:VRL524299 WBG524299:WBH524299 WLC524299:WLD524299 WUY524299:WUZ524299 G589835:H589835 IM589835:IN589835 SI589835:SJ589835 ACE589835:ACF589835 AMA589835:AMB589835 AVW589835:AVX589835 BFS589835:BFT589835 BPO589835:BPP589835 BZK589835:BZL589835 CJG589835:CJH589835 CTC589835:CTD589835 DCY589835:DCZ589835 DMU589835:DMV589835 DWQ589835:DWR589835 EGM589835:EGN589835 EQI589835:EQJ589835 FAE589835:FAF589835 FKA589835:FKB589835 FTW589835:FTX589835 GDS589835:GDT589835 GNO589835:GNP589835 GXK589835:GXL589835 HHG589835:HHH589835 HRC589835:HRD589835 IAY589835:IAZ589835 IKU589835:IKV589835 IUQ589835:IUR589835 JEM589835:JEN589835 JOI589835:JOJ589835 JYE589835:JYF589835 KIA589835:KIB589835 KRW589835:KRX589835 LBS589835:LBT589835 LLO589835:LLP589835 LVK589835:LVL589835 MFG589835:MFH589835 MPC589835:MPD589835 MYY589835:MYZ589835 NIU589835:NIV589835 NSQ589835:NSR589835 OCM589835:OCN589835 OMI589835:OMJ589835 OWE589835:OWF589835 PGA589835:PGB589835 PPW589835:PPX589835 PZS589835:PZT589835 QJO589835:QJP589835 QTK589835:QTL589835 RDG589835:RDH589835 RNC589835:RND589835 RWY589835:RWZ589835 SGU589835:SGV589835 SQQ589835:SQR589835 TAM589835:TAN589835 TKI589835:TKJ589835 TUE589835:TUF589835 UEA589835:UEB589835 UNW589835:UNX589835 UXS589835:UXT589835 VHO589835:VHP589835 VRK589835:VRL589835 WBG589835:WBH589835 WLC589835:WLD589835 WUY589835:WUZ589835 G655371:H655371 IM655371:IN655371 SI655371:SJ655371 ACE655371:ACF655371 AMA655371:AMB655371 AVW655371:AVX655371 BFS655371:BFT655371 BPO655371:BPP655371 BZK655371:BZL655371 CJG655371:CJH655371 CTC655371:CTD655371 DCY655371:DCZ655371 DMU655371:DMV655371 DWQ655371:DWR655371 EGM655371:EGN655371 EQI655371:EQJ655371 FAE655371:FAF655371 FKA655371:FKB655371 FTW655371:FTX655371 GDS655371:GDT655371 GNO655371:GNP655371 GXK655371:GXL655371 HHG655371:HHH655371 HRC655371:HRD655371 IAY655371:IAZ655371 IKU655371:IKV655371 IUQ655371:IUR655371 JEM655371:JEN655371 JOI655371:JOJ655371 JYE655371:JYF655371 KIA655371:KIB655371 KRW655371:KRX655371 LBS655371:LBT655371 LLO655371:LLP655371 LVK655371:LVL655371 MFG655371:MFH655371 MPC655371:MPD655371 MYY655371:MYZ655371 NIU655371:NIV655371 NSQ655371:NSR655371 OCM655371:OCN655371 OMI655371:OMJ655371 OWE655371:OWF655371 PGA655371:PGB655371 PPW655371:PPX655371 PZS655371:PZT655371 QJO655371:QJP655371 QTK655371:QTL655371 RDG655371:RDH655371 RNC655371:RND655371 RWY655371:RWZ655371 SGU655371:SGV655371 SQQ655371:SQR655371 TAM655371:TAN655371 TKI655371:TKJ655371 TUE655371:TUF655371 UEA655371:UEB655371 UNW655371:UNX655371 UXS655371:UXT655371 VHO655371:VHP655371 VRK655371:VRL655371 WBG655371:WBH655371 WLC655371:WLD655371 WUY655371:WUZ655371 G720907:H720907 IM720907:IN720907 SI720907:SJ720907 ACE720907:ACF720907 AMA720907:AMB720907 AVW720907:AVX720907 BFS720907:BFT720907 BPO720907:BPP720907 BZK720907:BZL720907 CJG720907:CJH720907 CTC720907:CTD720907 DCY720907:DCZ720907 DMU720907:DMV720907 DWQ720907:DWR720907 EGM720907:EGN720907 EQI720907:EQJ720907 FAE720907:FAF720907 FKA720907:FKB720907 FTW720907:FTX720907 GDS720907:GDT720907 GNO720907:GNP720907 GXK720907:GXL720907 HHG720907:HHH720907 HRC720907:HRD720907 IAY720907:IAZ720907 IKU720907:IKV720907 IUQ720907:IUR720907 JEM720907:JEN720907 JOI720907:JOJ720907 JYE720907:JYF720907 KIA720907:KIB720907 KRW720907:KRX720907 LBS720907:LBT720907 LLO720907:LLP720907 LVK720907:LVL720907 MFG720907:MFH720907 MPC720907:MPD720907 MYY720907:MYZ720907 NIU720907:NIV720907 NSQ720907:NSR720907 OCM720907:OCN720907 OMI720907:OMJ720907 OWE720907:OWF720907 PGA720907:PGB720907 PPW720907:PPX720907 PZS720907:PZT720907 QJO720907:QJP720907 QTK720907:QTL720907 RDG720907:RDH720907 RNC720907:RND720907 RWY720907:RWZ720907 SGU720907:SGV720907 SQQ720907:SQR720907 TAM720907:TAN720907 TKI720907:TKJ720907 TUE720907:TUF720907 UEA720907:UEB720907 UNW720907:UNX720907 UXS720907:UXT720907 VHO720907:VHP720907 VRK720907:VRL720907 WBG720907:WBH720907 WLC720907:WLD720907 WUY720907:WUZ720907 G786443:H786443 IM786443:IN786443 SI786443:SJ786443 ACE786443:ACF786443 AMA786443:AMB786443 AVW786443:AVX786443 BFS786443:BFT786443 BPO786443:BPP786443 BZK786443:BZL786443 CJG786443:CJH786443 CTC786443:CTD786443 DCY786443:DCZ786443 DMU786443:DMV786443 DWQ786443:DWR786443 EGM786443:EGN786443 EQI786443:EQJ786443 FAE786443:FAF786443 FKA786443:FKB786443 FTW786443:FTX786443 GDS786443:GDT786443 GNO786443:GNP786443 GXK786443:GXL786443 HHG786443:HHH786443 HRC786443:HRD786443 IAY786443:IAZ786443 IKU786443:IKV786443 IUQ786443:IUR786443 JEM786443:JEN786443 JOI786443:JOJ786443 JYE786443:JYF786443 KIA786443:KIB786443 KRW786443:KRX786443 LBS786443:LBT786443 LLO786443:LLP786443 LVK786443:LVL786443 MFG786443:MFH786443 MPC786443:MPD786443 MYY786443:MYZ786443 NIU786443:NIV786443 NSQ786443:NSR786443 OCM786443:OCN786443 OMI786443:OMJ786443 OWE786443:OWF786443 PGA786443:PGB786443 PPW786443:PPX786443 PZS786443:PZT786443 QJO786443:QJP786443 QTK786443:QTL786443 RDG786443:RDH786443 RNC786443:RND786443 RWY786443:RWZ786443 SGU786443:SGV786443 SQQ786443:SQR786443 TAM786443:TAN786443 TKI786443:TKJ786443 TUE786443:TUF786443 UEA786443:UEB786443 UNW786443:UNX786443 UXS786443:UXT786443 VHO786443:VHP786443 VRK786443:VRL786443 WBG786443:WBH786443 WLC786443:WLD786443 WUY786443:WUZ786443 G851979:H851979 IM851979:IN851979 SI851979:SJ851979 ACE851979:ACF851979 AMA851979:AMB851979 AVW851979:AVX851979 BFS851979:BFT851979 BPO851979:BPP851979 BZK851979:BZL851979 CJG851979:CJH851979 CTC851979:CTD851979 DCY851979:DCZ851979 DMU851979:DMV851979 DWQ851979:DWR851979 EGM851979:EGN851979 EQI851979:EQJ851979 FAE851979:FAF851979 FKA851979:FKB851979 FTW851979:FTX851979 GDS851979:GDT851979 GNO851979:GNP851979 GXK851979:GXL851979 HHG851979:HHH851979 HRC851979:HRD851979 IAY851979:IAZ851979 IKU851979:IKV851979 IUQ851979:IUR851979 JEM851979:JEN851979 JOI851979:JOJ851979 JYE851979:JYF851979 KIA851979:KIB851979 KRW851979:KRX851979 LBS851979:LBT851979 LLO851979:LLP851979 LVK851979:LVL851979 MFG851979:MFH851979 MPC851979:MPD851979 MYY851979:MYZ851979 NIU851979:NIV851979 NSQ851979:NSR851979 OCM851979:OCN851979 OMI851979:OMJ851979 OWE851979:OWF851979 PGA851979:PGB851979 PPW851979:PPX851979 PZS851979:PZT851979 QJO851979:QJP851979 QTK851979:QTL851979 RDG851979:RDH851979 RNC851979:RND851979 RWY851979:RWZ851979 SGU851979:SGV851979 SQQ851979:SQR851979 TAM851979:TAN851979 TKI851979:TKJ851979 TUE851979:TUF851979 UEA851979:UEB851979 UNW851979:UNX851979 UXS851979:UXT851979 VHO851979:VHP851979 VRK851979:VRL851979 WBG851979:WBH851979 WLC851979:WLD851979 WUY851979:WUZ851979 G917515:H917515 IM917515:IN917515 SI917515:SJ917515 ACE917515:ACF917515 AMA917515:AMB917515 AVW917515:AVX917515 BFS917515:BFT917515 BPO917515:BPP917515 BZK917515:BZL917515 CJG917515:CJH917515 CTC917515:CTD917515 DCY917515:DCZ917515 DMU917515:DMV917515 DWQ917515:DWR917515 EGM917515:EGN917515 EQI917515:EQJ917515 FAE917515:FAF917515 FKA917515:FKB917515 FTW917515:FTX917515 GDS917515:GDT917515 GNO917515:GNP917515 GXK917515:GXL917515 HHG917515:HHH917515 HRC917515:HRD917515 IAY917515:IAZ917515 IKU917515:IKV917515 IUQ917515:IUR917515 JEM917515:JEN917515 JOI917515:JOJ917515 JYE917515:JYF917515 KIA917515:KIB917515 KRW917515:KRX917515 LBS917515:LBT917515 LLO917515:LLP917515 LVK917515:LVL917515 MFG917515:MFH917515 MPC917515:MPD917515 MYY917515:MYZ917515 NIU917515:NIV917515 NSQ917515:NSR917515 OCM917515:OCN917515 OMI917515:OMJ917515 OWE917515:OWF917515 PGA917515:PGB917515 PPW917515:PPX917515 PZS917515:PZT917515 QJO917515:QJP917515 QTK917515:QTL917515 RDG917515:RDH917515 RNC917515:RND917515 RWY917515:RWZ917515 SGU917515:SGV917515 SQQ917515:SQR917515 TAM917515:TAN917515 TKI917515:TKJ917515 TUE917515:TUF917515 UEA917515:UEB917515 UNW917515:UNX917515 UXS917515:UXT917515 VHO917515:VHP917515 VRK917515:VRL917515 WBG917515:WBH917515 WLC917515:WLD917515 WUY917515:WUZ917515 G983051:H983051 IM983051:IN983051 SI983051:SJ983051 ACE983051:ACF983051 AMA983051:AMB983051 AVW983051:AVX983051 BFS983051:BFT983051 BPO983051:BPP983051 BZK983051:BZL983051 CJG983051:CJH983051 CTC983051:CTD983051 DCY983051:DCZ983051 DMU983051:DMV983051 DWQ983051:DWR983051 EGM983051:EGN983051 EQI983051:EQJ983051 FAE983051:FAF983051 FKA983051:FKB983051 FTW983051:FTX983051 GDS983051:GDT983051 GNO983051:GNP983051 GXK983051:GXL983051 HHG983051:HHH983051 HRC983051:HRD983051 IAY983051:IAZ983051 IKU983051:IKV983051 IUQ983051:IUR983051 JEM983051:JEN983051 JOI983051:JOJ983051 JYE983051:JYF983051 KIA983051:KIB983051 KRW983051:KRX983051 LBS983051:LBT983051 LLO983051:LLP983051 LVK983051:LVL983051 MFG983051:MFH983051 MPC983051:MPD983051 MYY983051:MYZ983051 NIU983051:NIV983051 NSQ983051:NSR983051 OCM983051:OCN983051 OMI983051:OMJ983051 OWE983051:OWF983051 PGA983051:PGB983051 PPW983051:PPX983051 PZS983051:PZT983051 QJO983051:QJP983051 QTK983051:QTL983051 RDG983051:RDH983051 RNC983051:RND983051 RWY983051:RWZ983051 SGU983051:SGV983051 SQQ983051:SQR983051 TAM983051:TAN983051 TKI983051:TKJ983051 TUE983051:TUF983051 UEA983051:UEB983051 UNW983051:UNX983051 UXS983051:UXT983051 VHO983051:VHP983051 VRK983051:VRL983051 WBG983051:WBH983051 WLC983051:WLD983051 WUY983051:WUZ983051" xr:uid="{00000000-0002-0000-0700-000001000000}">
      <formula1>"박사, 석사, 학사"</formula1>
    </dataValidation>
  </dataValidations>
  <printOptions horizontalCentered="1" verticalCentered="1"/>
  <pageMargins left="0.23622047244094491" right="0.23622047244094491" top="0.74803149606299213" bottom="0.74803149606299213" header="0.31496062992125984" footer="0.31496062992125984"/>
  <pageSetup paperSize="9" scale="5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Check Box 1">
              <controlPr defaultSize="0" autoFill="0" autoLine="0" autoPict="0">
                <anchor moveWithCells="1">
                  <from>
                    <xdr:col>1</xdr:col>
                    <xdr:colOff>0</xdr:colOff>
                    <xdr:row>2</xdr:row>
                    <xdr:rowOff>146050</xdr:rowOff>
                  </from>
                  <to>
                    <xdr:col>1</xdr:col>
                    <xdr:colOff>762000</xdr:colOff>
                    <xdr:row>3</xdr:row>
                    <xdr:rowOff>355600</xdr:rowOff>
                  </to>
                </anchor>
              </controlPr>
            </control>
          </mc:Choice>
        </mc:AlternateContent>
        <mc:AlternateContent xmlns:mc="http://schemas.openxmlformats.org/markup-compatibility/2006">
          <mc:Choice Requires="x14">
            <control shapeId="32770" r:id="rId5" name="Check Box 2">
              <controlPr defaultSize="0" autoFill="0" autoLine="0" autoPict="0">
                <anchor moveWithCells="1">
                  <from>
                    <xdr:col>1</xdr:col>
                    <xdr:colOff>1123950</xdr:colOff>
                    <xdr:row>2</xdr:row>
                    <xdr:rowOff>152400</xdr:rowOff>
                  </from>
                  <to>
                    <xdr:col>3</xdr:col>
                    <xdr:colOff>469900</xdr:colOff>
                    <xdr:row>3</xdr:row>
                    <xdr:rowOff>361950</xdr:rowOff>
                  </to>
                </anchor>
              </controlPr>
            </control>
          </mc:Choice>
        </mc:AlternateContent>
        <mc:AlternateContent xmlns:mc="http://schemas.openxmlformats.org/markup-compatibility/2006">
          <mc:Choice Requires="x14">
            <control shapeId="32771" r:id="rId6" name="Check Box 3">
              <controlPr defaultSize="0" autoFill="0" autoLine="0" autoPict="0">
                <anchor moveWithCells="1">
                  <from>
                    <xdr:col>3</xdr:col>
                    <xdr:colOff>342900</xdr:colOff>
                    <xdr:row>2</xdr:row>
                    <xdr:rowOff>146050</xdr:rowOff>
                  </from>
                  <to>
                    <xdr:col>4</xdr:col>
                    <xdr:colOff>419100</xdr:colOff>
                    <xdr:row>3</xdr:row>
                    <xdr:rowOff>374650</xdr:rowOff>
                  </to>
                </anchor>
              </controlPr>
            </control>
          </mc:Choice>
        </mc:AlternateContent>
        <mc:AlternateContent xmlns:mc="http://schemas.openxmlformats.org/markup-compatibility/2006">
          <mc:Choice Requires="x14">
            <control shapeId="32772" r:id="rId7" name="Check Box 4">
              <controlPr defaultSize="0" autoFill="0" autoLine="0" autoPict="0">
                <anchor moveWithCells="1">
                  <from>
                    <xdr:col>1</xdr:col>
                    <xdr:colOff>514350</xdr:colOff>
                    <xdr:row>2</xdr:row>
                    <xdr:rowOff>146050</xdr:rowOff>
                  </from>
                  <to>
                    <xdr:col>1</xdr:col>
                    <xdr:colOff>1276350</xdr:colOff>
                    <xdr:row>3</xdr:row>
                    <xdr:rowOff>355600</xdr:rowOff>
                  </to>
                </anchor>
              </controlPr>
            </control>
          </mc:Choice>
        </mc:AlternateContent>
        <mc:AlternateContent xmlns:mc="http://schemas.openxmlformats.org/markup-compatibility/2006">
          <mc:Choice Requires="x14">
            <control shapeId="32773" r:id="rId8" name="Check Box 5">
              <controlPr defaultSize="0" autoFill="0" autoLine="0" autoPict="0">
                <anchor moveWithCells="1">
                  <from>
                    <xdr:col>4</xdr:col>
                    <xdr:colOff>527050</xdr:colOff>
                    <xdr:row>2</xdr:row>
                    <xdr:rowOff>152400</xdr:rowOff>
                  </from>
                  <to>
                    <xdr:col>5</xdr:col>
                    <xdr:colOff>603250</xdr:colOff>
                    <xdr:row>3</xdr:row>
                    <xdr:rowOff>361950</xdr:rowOff>
                  </to>
                </anchor>
              </controlPr>
            </control>
          </mc:Choice>
        </mc:AlternateContent>
        <mc:AlternateContent xmlns:mc="http://schemas.openxmlformats.org/markup-compatibility/2006">
          <mc:Choice Requires="x14">
            <control shapeId="32774" r:id="rId9" name="Check Box 6">
              <controlPr defaultSize="0" autoFill="0" autoLine="0" autoPict="0">
                <anchor moveWithCells="1">
                  <from>
                    <xdr:col>5</xdr:col>
                    <xdr:colOff>685800</xdr:colOff>
                    <xdr:row>2</xdr:row>
                    <xdr:rowOff>152400</xdr:rowOff>
                  </from>
                  <to>
                    <xdr:col>8</xdr:col>
                    <xdr:colOff>723900</xdr:colOff>
                    <xdr:row>3</xdr:row>
                    <xdr:rowOff>361950</xdr:rowOff>
                  </to>
                </anchor>
              </controlPr>
            </control>
          </mc:Choice>
        </mc:AlternateContent>
        <mc:AlternateContent xmlns:mc="http://schemas.openxmlformats.org/markup-compatibility/2006">
          <mc:Choice Requires="x14">
            <control shapeId="32775" r:id="rId10" name="Check Box 7">
              <controlPr defaultSize="0" autoFill="0" autoLine="0" autoPict="0">
                <anchor moveWithCells="1">
                  <from>
                    <xdr:col>8</xdr:col>
                    <xdr:colOff>412750</xdr:colOff>
                    <xdr:row>2</xdr:row>
                    <xdr:rowOff>152400</xdr:rowOff>
                  </from>
                  <to>
                    <xdr:col>10</xdr:col>
                    <xdr:colOff>88900</xdr:colOff>
                    <xdr:row>3</xdr:row>
                    <xdr:rowOff>361950</xdr:rowOff>
                  </to>
                </anchor>
              </controlPr>
            </control>
          </mc:Choice>
        </mc:AlternateContent>
        <mc:AlternateContent xmlns:mc="http://schemas.openxmlformats.org/markup-compatibility/2006">
          <mc:Choice Requires="x14">
            <control shapeId="32782" r:id="rId11" name="Button 14">
              <controlPr defaultSize="0" print="0" autoFill="0" autoPict="0" macro="[0]!학생연구자확약서">
                <anchor moveWithCells="1" sizeWithCells="1">
                  <from>
                    <xdr:col>4</xdr:col>
                    <xdr:colOff>114300</xdr:colOff>
                    <xdr:row>49</xdr:row>
                    <xdr:rowOff>127000</xdr:rowOff>
                  </from>
                  <to>
                    <xdr:col>7</xdr:col>
                    <xdr:colOff>12700</xdr:colOff>
                    <xdr:row>51</xdr:row>
                    <xdr:rowOff>69850</xdr:rowOff>
                  </to>
                </anchor>
              </controlPr>
            </control>
          </mc:Choice>
        </mc:AlternateContent>
        <mc:AlternateContent xmlns:mc="http://schemas.openxmlformats.org/markup-compatibility/2006">
          <mc:Choice Requires="x14">
            <control shapeId="32783" r:id="rId12" name="Check Box 15">
              <controlPr defaultSize="0" autoFill="0" autoLine="0" autoPict="0">
                <anchor moveWithCells="1">
                  <from>
                    <xdr:col>2</xdr:col>
                    <xdr:colOff>165100</xdr:colOff>
                    <xdr:row>16</xdr:row>
                    <xdr:rowOff>279400</xdr:rowOff>
                  </from>
                  <to>
                    <xdr:col>2</xdr:col>
                    <xdr:colOff>1028700</xdr:colOff>
                    <xdr:row>17</xdr:row>
                    <xdr:rowOff>247650</xdr:rowOff>
                  </to>
                </anchor>
              </controlPr>
            </control>
          </mc:Choice>
        </mc:AlternateContent>
        <mc:AlternateContent xmlns:mc="http://schemas.openxmlformats.org/markup-compatibility/2006">
          <mc:Choice Requires="x14">
            <control shapeId="32784" r:id="rId13" name="Check Box 16">
              <controlPr defaultSize="0" autoFill="0" autoLine="0" autoPict="0">
                <anchor moveWithCells="1">
                  <from>
                    <xdr:col>2</xdr:col>
                    <xdr:colOff>838200</xdr:colOff>
                    <xdr:row>16</xdr:row>
                    <xdr:rowOff>279400</xdr:rowOff>
                  </from>
                  <to>
                    <xdr:col>3</xdr:col>
                    <xdr:colOff>285750</xdr:colOff>
                    <xdr:row>17</xdr:row>
                    <xdr:rowOff>247650</xdr:rowOff>
                  </to>
                </anchor>
              </controlPr>
            </control>
          </mc:Choice>
        </mc:AlternateContent>
        <mc:AlternateContent xmlns:mc="http://schemas.openxmlformats.org/markup-compatibility/2006">
          <mc:Choice Requires="x14">
            <control shapeId="32785" r:id="rId14" name="Check Box 17">
              <controlPr defaultSize="0" autoFill="0" autoLine="0" autoPict="0">
                <anchor moveWithCells="1">
                  <from>
                    <xdr:col>3</xdr:col>
                    <xdr:colOff>419100</xdr:colOff>
                    <xdr:row>16</xdr:row>
                    <xdr:rowOff>279400</xdr:rowOff>
                  </from>
                  <to>
                    <xdr:col>4</xdr:col>
                    <xdr:colOff>533400</xdr:colOff>
                    <xdr:row>17</xdr:row>
                    <xdr:rowOff>247650</xdr:rowOff>
                  </to>
                </anchor>
              </controlPr>
            </control>
          </mc:Choice>
        </mc:AlternateContent>
        <mc:AlternateContent xmlns:mc="http://schemas.openxmlformats.org/markup-compatibility/2006">
          <mc:Choice Requires="x14">
            <control shapeId="32786" r:id="rId15" name="Check Box 18">
              <controlPr defaultSize="0" autoFill="0" autoLine="0" autoPict="0">
                <anchor moveWithCells="1">
                  <from>
                    <xdr:col>4</xdr:col>
                    <xdr:colOff>438150</xdr:colOff>
                    <xdr:row>16</xdr:row>
                    <xdr:rowOff>279400</xdr:rowOff>
                  </from>
                  <to>
                    <xdr:col>5</xdr:col>
                    <xdr:colOff>419100</xdr:colOff>
                    <xdr:row>17</xdr:row>
                    <xdr:rowOff>247650</xdr:rowOff>
                  </to>
                </anchor>
              </controlPr>
            </control>
          </mc:Choice>
        </mc:AlternateContent>
        <mc:AlternateContent xmlns:mc="http://schemas.openxmlformats.org/markup-compatibility/2006">
          <mc:Choice Requires="x14">
            <control shapeId="32787" r:id="rId16" name="Check Box 19">
              <controlPr defaultSize="0" autoFill="0" autoLine="0" autoPict="0">
                <anchor moveWithCells="1">
                  <from>
                    <xdr:col>5</xdr:col>
                    <xdr:colOff>457200</xdr:colOff>
                    <xdr:row>16</xdr:row>
                    <xdr:rowOff>279400</xdr:rowOff>
                  </from>
                  <to>
                    <xdr:col>6</xdr:col>
                    <xdr:colOff>76200</xdr:colOff>
                    <xdr:row>17</xdr:row>
                    <xdr:rowOff>247650</xdr:rowOff>
                  </to>
                </anchor>
              </controlPr>
            </control>
          </mc:Choice>
        </mc:AlternateContent>
        <mc:AlternateContent xmlns:mc="http://schemas.openxmlformats.org/markup-compatibility/2006">
          <mc:Choice Requires="x14">
            <control shapeId="32788" r:id="rId17" name="Check Box 20">
              <controlPr defaultSize="0" autoFill="0" autoLine="0" autoPict="0">
                <anchor moveWithCells="1">
                  <from>
                    <xdr:col>6</xdr:col>
                    <xdr:colOff>133350</xdr:colOff>
                    <xdr:row>16</xdr:row>
                    <xdr:rowOff>279400</xdr:rowOff>
                  </from>
                  <to>
                    <xdr:col>6</xdr:col>
                    <xdr:colOff>850900</xdr:colOff>
                    <xdr:row>17</xdr:row>
                    <xdr:rowOff>247650</xdr:rowOff>
                  </to>
                </anchor>
              </controlPr>
            </control>
          </mc:Choice>
        </mc:AlternateContent>
        <mc:AlternateContent xmlns:mc="http://schemas.openxmlformats.org/markup-compatibility/2006">
          <mc:Choice Requires="x14">
            <control shapeId="32790" r:id="rId18" name="Check Box 22">
              <controlPr defaultSize="0" autoFill="0" autoLine="0" autoPict="0">
                <anchor moveWithCells="1">
                  <from>
                    <xdr:col>22</xdr:col>
                    <xdr:colOff>971550</xdr:colOff>
                    <xdr:row>36</xdr:row>
                    <xdr:rowOff>38100</xdr:rowOff>
                  </from>
                  <to>
                    <xdr:col>23</xdr:col>
                    <xdr:colOff>0</xdr:colOff>
                    <xdr:row>36</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499984740745262"/>
    <pageSetUpPr fitToPage="1"/>
  </sheetPr>
  <dimension ref="A1:L91"/>
  <sheetViews>
    <sheetView showGridLines="0" zoomScale="70" zoomScaleNormal="70" workbookViewId="0"/>
  </sheetViews>
  <sheetFormatPr defaultRowHeight="17"/>
  <cols>
    <col min="1" max="1" width="1.25" style="215" customWidth="1"/>
    <col min="2" max="2" width="12.75" customWidth="1"/>
    <col min="3" max="3" width="11.08203125" bestFit="1" customWidth="1"/>
    <col min="6" max="6" width="11.08203125" bestFit="1" customWidth="1"/>
    <col min="7" max="7" width="15.08203125" bestFit="1" customWidth="1"/>
    <col min="9" max="11" width="10" customWidth="1"/>
    <col min="12" max="12" width="10.9140625" customWidth="1"/>
  </cols>
  <sheetData>
    <row r="1" spans="1:12" s="4" customFormat="1" ht="26.5" customHeight="1">
      <c r="A1" s="215"/>
      <c r="B1" s="1152" t="s">
        <v>1105</v>
      </c>
      <c r="C1" s="1152"/>
      <c r="D1" s="1152"/>
      <c r="E1" s="1152"/>
      <c r="F1" s="1152"/>
      <c r="G1" s="1152"/>
      <c r="H1" s="1152"/>
      <c r="I1" s="1152"/>
      <c r="J1" s="1152"/>
      <c r="K1" s="1152"/>
      <c r="L1" s="1152"/>
    </row>
    <row r="2" spans="1:12" s="4" customFormat="1" ht="17.5">
      <c r="A2" s="211"/>
      <c r="B2" s="24"/>
      <c r="C2" s="24"/>
      <c r="D2" s="24"/>
      <c r="E2" s="24"/>
      <c r="F2" s="24"/>
      <c r="G2" s="24"/>
      <c r="H2" s="24"/>
      <c r="I2" s="24"/>
    </row>
    <row r="3" spans="1:12" s="4" customFormat="1" ht="33.5">
      <c r="A3" s="211"/>
      <c r="B3" s="617" t="s">
        <v>1149</v>
      </c>
      <c r="C3" s="617"/>
      <c r="D3" s="617"/>
      <c r="E3" s="617"/>
      <c r="F3" s="617"/>
      <c r="G3" s="617"/>
      <c r="H3" s="617"/>
      <c r="I3" s="617"/>
      <c r="J3" s="617"/>
      <c r="K3" s="617"/>
      <c r="L3" s="617"/>
    </row>
    <row r="4" spans="1:12" s="4" customFormat="1" ht="33.5">
      <c r="A4" s="215"/>
      <c r="B4" s="25"/>
      <c r="C4" s="25"/>
      <c r="D4" s="25"/>
      <c r="E4" s="25"/>
      <c r="F4" s="25"/>
      <c r="G4" s="25"/>
      <c r="H4" s="25"/>
      <c r="I4" s="25"/>
      <c r="J4" s="25"/>
      <c r="K4" s="25"/>
      <c r="L4" s="25"/>
    </row>
    <row r="5" spans="1:12" s="4" customFormat="1">
      <c r="A5" s="215"/>
      <c r="B5" s="1153" t="s">
        <v>166</v>
      </c>
      <c r="C5" s="1153"/>
      <c r="D5" s="1153"/>
      <c r="E5" s="1153"/>
      <c r="F5" s="1153"/>
      <c r="G5" s="1153"/>
      <c r="H5" s="1153"/>
      <c r="I5" s="1153"/>
      <c r="J5" s="1153"/>
      <c r="K5" s="1153"/>
      <c r="L5" s="1153"/>
    </row>
    <row r="6" spans="1:12" s="4" customFormat="1" ht="26.5" customHeight="1">
      <c r="A6" s="215"/>
      <c r="B6" s="615" t="s">
        <v>167</v>
      </c>
      <c r="C6" s="615"/>
      <c r="D6" s="1149"/>
      <c r="E6" s="1149"/>
      <c r="F6" s="1149"/>
      <c r="G6" s="615" t="s">
        <v>168</v>
      </c>
      <c r="H6" s="615"/>
      <c r="I6" s="1149"/>
      <c r="J6" s="1149"/>
      <c r="K6" s="1149"/>
      <c r="L6" s="1149"/>
    </row>
    <row r="7" spans="1:12" s="4" customFormat="1" ht="26.5" customHeight="1">
      <c r="A7" s="215"/>
      <c r="B7" s="615" t="s">
        <v>1547</v>
      </c>
      <c r="C7" s="615"/>
      <c r="D7" s="610" t="s">
        <v>169</v>
      </c>
      <c r="E7" s="610"/>
      <c r="F7" s="610"/>
      <c r="G7" s="615" t="s">
        <v>1548</v>
      </c>
      <c r="H7" s="615"/>
      <c r="I7" s="1149"/>
      <c r="J7" s="1149"/>
      <c r="K7" s="1149"/>
      <c r="L7" s="1149"/>
    </row>
    <row r="8" spans="1:12" s="4" customFormat="1" ht="26.5" customHeight="1">
      <c r="A8" s="215"/>
      <c r="B8" s="615" t="s">
        <v>170</v>
      </c>
      <c r="C8" s="615"/>
      <c r="D8" s="1149"/>
      <c r="E8" s="1149"/>
      <c r="F8" s="1149"/>
      <c r="G8" s="1149"/>
      <c r="H8" s="1149"/>
      <c r="I8" s="1149"/>
      <c r="J8" s="1149"/>
      <c r="K8" s="1149"/>
      <c r="L8" s="1149"/>
    </row>
    <row r="9" spans="1:12" s="4" customFormat="1" ht="26.5" customHeight="1">
      <c r="A9" s="215"/>
      <c r="B9" s="615" t="s">
        <v>171</v>
      </c>
      <c r="C9" s="615"/>
      <c r="D9" s="1149"/>
      <c r="E9" s="1149"/>
      <c r="F9" s="1149"/>
      <c r="G9" s="615" t="s">
        <v>172</v>
      </c>
      <c r="H9" s="615"/>
      <c r="I9" s="1150"/>
      <c r="J9" s="1150"/>
      <c r="K9" s="1150"/>
      <c r="L9" s="1150"/>
    </row>
    <row r="10" spans="1:12">
      <c r="B10" s="4"/>
      <c r="C10" s="4"/>
      <c r="D10" s="4"/>
      <c r="E10" s="4"/>
      <c r="F10" s="4"/>
      <c r="G10" s="4"/>
      <c r="H10" s="4"/>
      <c r="I10" s="4"/>
      <c r="J10" s="4"/>
      <c r="K10" s="4"/>
      <c r="L10" s="4"/>
    </row>
    <row r="11" spans="1:12">
      <c r="A11" s="227"/>
      <c r="B11" s="1151" t="s">
        <v>1150</v>
      </c>
      <c r="C11" s="1151"/>
      <c r="D11" s="1151"/>
      <c r="E11" s="1151"/>
      <c r="F11" s="1151"/>
      <c r="G11" s="1151"/>
      <c r="H11" s="1151"/>
      <c r="I11" s="1151"/>
      <c r="J11" s="1151"/>
      <c r="K11" s="1151"/>
      <c r="L11" s="1151"/>
    </row>
    <row r="12" spans="1:12" ht="27" customHeight="1">
      <c r="B12" s="615" t="s">
        <v>59</v>
      </c>
      <c r="C12" s="615" t="s">
        <v>173</v>
      </c>
      <c r="D12" s="615" t="s">
        <v>174</v>
      </c>
      <c r="E12" s="615" t="s">
        <v>175</v>
      </c>
      <c r="F12" s="615" t="s">
        <v>176</v>
      </c>
      <c r="G12" s="615" t="s">
        <v>177</v>
      </c>
      <c r="H12" s="616" t="s">
        <v>1151</v>
      </c>
      <c r="I12" s="615" t="s">
        <v>178</v>
      </c>
      <c r="J12" s="615" t="s">
        <v>179</v>
      </c>
      <c r="K12" s="615" t="s">
        <v>180</v>
      </c>
      <c r="L12" s="615" t="s">
        <v>181</v>
      </c>
    </row>
    <row r="13" spans="1:12">
      <c r="B13" s="615"/>
      <c r="C13" s="615"/>
      <c r="D13" s="615"/>
      <c r="E13" s="615"/>
      <c r="F13" s="615"/>
      <c r="G13" s="615"/>
      <c r="H13" s="616"/>
      <c r="I13" s="615"/>
      <c r="J13" s="615"/>
      <c r="K13" s="615"/>
      <c r="L13" s="615"/>
    </row>
    <row r="14" spans="1:12">
      <c r="B14" s="610"/>
      <c r="C14" s="1142"/>
      <c r="D14" s="610"/>
      <c r="E14" s="610"/>
      <c r="F14" s="26"/>
      <c r="G14" s="610" t="s">
        <v>182</v>
      </c>
      <c r="H14" s="1143"/>
      <c r="I14" s="1144"/>
      <c r="J14" s="1144"/>
      <c r="K14" s="1145"/>
      <c r="L14" s="611"/>
    </row>
    <row r="15" spans="1:12">
      <c r="B15" s="610"/>
      <c r="C15" s="1142"/>
      <c r="D15" s="610"/>
      <c r="E15" s="610"/>
      <c r="F15" s="27" t="s">
        <v>183</v>
      </c>
      <c r="G15" s="610"/>
      <c r="H15" s="1143"/>
      <c r="I15" s="1144"/>
      <c r="J15" s="1144"/>
      <c r="K15" s="1146"/>
      <c r="L15" s="611"/>
    </row>
    <row r="16" spans="1:12" ht="15.75" customHeight="1">
      <c r="B16" s="610"/>
      <c r="C16" s="1142"/>
      <c r="D16" s="610"/>
      <c r="E16" s="610"/>
      <c r="F16" s="28"/>
      <c r="G16" s="610"/>
      <c r="H16" s="1143"/>
      <c r="I16" s="1144"/>
      <c r="J16" s="1144"/>
      <c r="K16" s="1146"/>
      <c r="L16" s="611"/>
    </row>
    <row r="17" spans="2:12">
      <c r="B17" s="4"/>
      <c r="C17" s="4"/>
      <c r="D17" s="4"/>
      <c r="E17" s="4"/>
      <c r="F17" s="4"/>
      <c r="G17" s="4"/>
      <c r="H17" s="4"/>
      <c r="I17" s="4"/>
      <c r="J17" s="4"/>
      <c r="K17" s="4"/>
      <c r="L17" s="4"/>
    </row>
    <row r="18" spans="2:12" ht="17.5" customHeight="1">
      <c r="B18" s="1147" t="s">
        <v>1152</v>
      </c>
      <c r="C18" s="1148"/>
      <c r="D18" s="1148"/>
      <c r="E18" s="1148"/>
      <c r="F18" s="1148"/>
      <c r="G18" s="1148"/>
      <c r="H18" s="1148"/>
      <c r="I18" s="1148"/>
      <c r="J18" s="1148"/>
      <c r="K18" s="1148"/>
      <c r="L18" s="1148"/>
    </row>
    <row r="19" spans="2:12" ht="17.25" customHeight="1">
      <c r="B19" s="1148"/>
      <c r="C19" s="1148"/>
      <c r="D19" s="1148"/>
      <c r="E19" s="1148"/>
      <c r="F19" s="1148"/>
      <c r="G19" s="1148"/>
      <c r="H19" s="1148"/>
      <c r="I19" s="1148"/>
      <c r="J19" s="1148"/>
      <c r="K19" s="1148"/>
      <c r="L19" s="1148"/>
    </row>
    <row r="20" spans="2:12" ht="17.5" customHeight="1">
      <c r="B20" s="1148"/>
      <c r="C20" s="1148"/>
      <c r="D20" s="1148"/>
      <c r="E20" s="1148"/>
      <c r="F20" s="1148"/>
      <c r="G20" s="1148"/>
      <c r="H20" s="1148"/>
      <c r="I20" s="1148"/>
      <c r="J20" s="1148"/>
      <c r="K20" s="1148"/>
      <c r="L20" s="1148"/>
    </row>
    <row r="21" spans="2:12" ht="17.5" customHeight="1">
      <c r="B21" s="1148"/>
      <c r="C21" s="1148"/>
      <c r="D21" s="1148"/>
      <c r="E21" s="1148"/>
      <c r="F21" s="1148"/>
      <c r="G21" s="1148"/>
      <c r="H21" s="1148"/>
      <c r="I21" s="1148"/>
      <c r="J21" s="1148"/>
      <c r="K21" s="1148"/>
      <c r="L21" s="1148"/>
    </row>
    <row r="22" spans="2:12">
      <c r="B22" s="1148"/>
      <c r="C22" s="1148"/>
      <c r="D22" s="1148"/>
      <c r="E22" s="1148"/>
      <c r="F22" s="1148"/>
      <c r="G22" s="1148"/>
      <c r="H22" s="1148"/>
      <c r="I22" s="1148"/>
      <c r="J22" s="1148"/>
      <c r="K22" s="1148"/>
      <c r="L22" s="1148"/>
    </row>
    <row r="23" spans="2:12">
      <c r="B23" s="1148"/>
      <c r="C23" s="1148"/>
      <c r="D23" s="1148"/>
      <c r="E23" s="1148"/>
      <c r="F23" s="1148"/>
      <c r="G23" s="1148"/>
      <c r="H23" s="1148"/>
      <c r="I23" s="1148"/>
      <c r="J23" s="1148"/>
      <c r="K23" s="1148"/>
      <c r="L23" s="1148"/>
    </row>
    <row r="24" spans="2:12">
      <c r="B24" s="1148"/>
      <c r="C24" s="1148"/>
      <c r="D24" s="1148"/>
      <c r="E24" s="1148"/>
      <c r="F24" s="1148"/>
      <c r="G24" s="1148"/>
      <c r="H24" s="1148"/>
      <c r="I24" s="1148"/>
      <c r="J24" s="1148"/>
      <c r="K24" s="1148"/>
      <c r="L24" s="1148"/>
    </row>
    <row r="25" spans="2:12">
      <c r="B25" s="4"/>
      <c r="C25" s="4"/>
      <c r="D25" s="4"/>
      <c r="E25" s="4"/>
      <c r="F25" s="4"/>
      <c r="G25" s="4"/>
      <c r="H25" s="4"/>
      <c r="I25" s="4"/>
      <c r="J25" s="4"/>
      <c r="K25" s="4"/>
      <c r="L25" s="4"/>
    </row>
    <row r="26" spans="2:12" ht="17.5">
      <c r="B26" s="1141">
        <f ca="1">TODAY()</f>
        <v>46132</v>
      </c>
      <c r="C26" s="1141"/>
      <c r="D26" s="1141"/>
      <c r="E26" s="1141"/>
      <c r="F26" s="1141"/>
      <c r="G26" s="1141"/>
      <c r="H26" s="1141"/>
      <c r="I26" s="1141"/>
      <c r="J26" s="1141"/>
      <c r="K26" s="1141"/>
      <c r="L26" s="1141"/>
    </row>
    <row r="27" spans="2:12">
      <c r="B27" s="4"/>
      <c r="C27" s="4"/>
      <c r="D27" s="4"/>
      <c r="E27" s="4"/>
      <c r="F27" s="4"/>
      <c r="G27" s="4"/>
      <c r="H27" s="4"/>
      <c r="I27" s="4"/>
      <c r="J27" s="4"/>
      <c r="K27" s="4"/>
      <c r="L27" s="4"/>
    </row>
    <row r="28" spans="2:12" ht="21">
      <c r="B28" s="1138"/>
      <c r="C28" s="1138"/>
      <c r="D28" s="1138" t="s">
        <v>184</v>
      </c>
      <c r="E28" s="1138"/>
      <c r="F28" s="1139">
        <f>D14</f>
        <v>0</v>
      </c>
      <c r="G28" s="1139"/>
      <c r="H28" s="1139"/>
      <c r="I28" s="1138" t="s">
        <v>185</v>
      </c>
      <c r="J28" s="1138"/>
      <c r="K28" s="4" t="s">
        <v>186</v>
      </c>
      <c r="L28" s="4"/>
    </row>
    <row r="29" spans="2:12">
      <c r="B29" s="4"/>
      <c r="C29" s="4"/>
      <c r="D29" s="4"/>
      <c r="E29" s="4"/>
      <c r="F29" s="4"/>
      <c r="G29" s="4"/>
      <c r="H29" s="4"/>
      <c r="I29" s="4"/>
      <c r="J29" s="4"/>
      <c r="K29" s="4"/>
      <c r="L29" s="4"/>
    </row>
    <row r="30" spans="2:12" ht="21">
      <c r="B30" s="1140" t="s">
        <v>187</v>
      </c>
      <c r="C30" s="1140"/>
      <c r="D30" s="1140"/>
      <c r="E30" s="1140"/>
      <c r="F30" s="1140"/>
      <c r="G30" s="1140"/>
      <c r="H30" s="1140"/>
      <c r="I30" s="1140"/>
      <c r="J30" s="1140"/>
      <c r="K30" s="1140"/>
      <c r="L30" s="1140"/>
    </row>
    <row r="89" spans="1:1">
      <c r="A89" s="216"/>
    </row>
    <row r="90" spans="1:1">
      <c r="A90" s="216"/>
    </row>
    <row r="91" spans="1:1">
      <c r="A91" s="216"/>
    </row>
  </sheetData>
  <mergeCells count="46">
    <mergeCell ref="B1:L1"/>
    <mergeCell ref="B3:L3"/>
    <mergeCell ref="B5:L5"/>
    <mergeCell ref="B6:C6"/>
    <mergeCell ref="D6:F6"/>
    <mergeCell ref="G6:H6"/>
    <mergeCell ref="I6:L6"/>
    <mergeCell ref="B7:C7"/>
    <mergeCell ref="D7:F7"/>
    <mergeCell ref="G7:H7"/>
    <mergeCell ref="I7:L7"/>
    <mergeCell ref="B8:C8"/>
    <mergeCell ref="D8:L8"/>
    <mergeCell ref="L12:L13"/>
    <mergeCell ref="B9:C9"/>
    <mergeCell ref="D9:F9"/>
    <mergeCell ref="G9:H9"/>
    <mergeCell ref="I9:L9"/>
    <mergeCell ref="B11:L11"/>
    <mergeCell ref="B12:B13"/>
    <mergeCell ref="C12:C13"/>
    <mergeCell ref="D12:D13"/>
    <mergeCell ref="E12:E13"/>
    <mergeCell ref="F12:F13"/>
    <mergeCell ref="G12:G13"/>
    <mergeCell ref="H12:H13"/>
    <mergeCell ref="I12:I13"/>
    <mergeCell ref="J12:J13"/>
    <mergeCell ref="K12:K13"/>
    <mergeCell ref="B26:L26"/>
    <mergeCell ref="B14:B16"/>
    <mergeCell ref="C14:C16"/>
    <mergeCell ref="D14:D16"/>
    <mergeCell ref="E14:E16"/>
    <mergeCell ref="G14:G16"/>
    <mergeCell ref="H14:H16"/>
    <mergeCell ref="I14:I16"/>
    <mergeCell ref="J14:J16"/>
    <mergeCell ref="K14:K16"/>
    <mergeCell ref="L14:L16"/>
    <mergeCell ref="B18:L24"/>
    <mergeCell ref="B28:C28"/>
    <mergeCell ref="D28:E28"/>
    <mergeCell ref="F28:H28"/>
    <mergeCell ref="I28:J28"/>
    <mergeCell ref="B30:L30"/>
  </mergeCells>
  <phoneticPr fontId="4" type="noConversion"/>
  <dataValidations disablePrompts="1" count="3">
    <dataValidation allowBlank="1" showInputMessage="1" showErrorMessage="1" prompt="yymmdd_x000a_(년-월-일)_x000a_" sqref="F14 F16" xr:uid="{00000000-0002-0000-0800-000000000000}"/>
    <dataValidation type="list" allowBlank="1" showInputMessage="1" showErrorMessage="1" sqref="G14:G16" xr:uid="{00000000-0002-0000-0800-000001000000}">
      <formula1>"지급, 미지급"</formula1>
    </dataValidation>
    <dataValidation allowBlank="1" showInputMessage="1" showErrorMessage="1" prompt="yymmdd_x000a_(년-월-일)" sqref="C14:C16" xr:uid="{00000000-0002-0000-0800-000002000000}"/>
  </dataValidations>
  <printOptions horizontalCentered="1"/>
  <pageMargins left="0.25" right="0.25" top="0.75" bottom="0.75" header="0.3" footer="0.3"/>
  <pageSetup paperSize="9" scale="77"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소속기관장확인서">
                <anchor moveWithCells="1" sizeWithCells="1">
                  <from>
                    <xdr:col>4</xdr:col>
                    <xdr:colOff>527050</xdr:colOff>
                    <xdr:row>31</xdr:row>
                    <xdr:rowOff>19050</xdr:rowOff>
                  </from>
                  <to>
                    <xdr:col>7</xdr:col>
                    <xdr:colOff>361950</xdr:colOff>
                    <xdr:row>32</xdr:row>
                    <xdr:rowOff>171450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499984740745262"/>
    <pageSetUpPr fitToPage="1"/>
  </sheetPr>
  <dimension ref="A1:X38"/>
  <sheetViews>
    <sheetView showGridLines="0" zoomScale="90" zoomScaleNormal="90" workbookViewId="0">
      <selection activeCell="L13" sqref="L13"/>
    </sheetView>
  </sheetViews>
  <sheetFormatPr defaultRowHeight="17"/>
  <cols>
    <col min="1" max="1" width="1.25" style="35" customWidth="1"/>
    <col min="2" max="2" width="16.4140625" bestFit="1" customWidth="1"/>
    <col min="3" max="4" width="12.4140625" customWidth="1"/>
    <col min="5" max="5" width="2.9140625" customWidth="1"/>
    <col min="6" max="6" width="11.08203125" customWidth="1"/>
    <col min="7" max="7" width="6.75" customWidth="1"/>
    <col min="8" max="8" width="3.08203125" customWidth="1"/>
    <col min="9" max="9" width="4" customWidth="1"/>
    <col min="10" max="10" width="3.33203125" customWidth="1"/>
    <col min="11" max="11" width="4" customWidth="1"/>
    <col min="12" max="12" width="8.9140625" customWidth="1"/>
    <col min="13" max="13" width="6.9140625" customWidth="1"/>
    <col min="14" max="14" width="16.4140625" bestFit="1" customWidth="1"/>
    <col min="15" max="16" width="12.4140625" customWidth="1"/>
    <col min="17" max="17" width="2.9140625" bestFit="1" customWidth="1"/>
    <col min="18" max="18" width="11.08203125" bestFit="1" customWidth="1"/>
    <col min="19" max="19" width="6.75" bestFit="1" customWidth="1"/>
    <col min="20" max="20" width="4.33203125" customWidth="1"/>
    <col min="21" max="21" width="4" bestFit="1" customWidth="1"/>
    <col min="22" max="22" width="3.33203125" bestFit="1" customWidth="1"/>
    <col min="23" max="23" width="4" bestFit="1" customWidth="1"/>
    <col min="24" max="24" width="8.9140625" customWidth="1"/>
  </cols>
  <sheetData>
    <row r="1" spans="1:24" ht="30" customHeight="1">
      <c r="A1" s="4"/>
    </row>
    <row r="2" spans="1:24" ht="33.5">
      <c r="A2" s="4"/>
      <c r="B2" s="617" t="s">
        <v>235</v>
      </c>
      <c r="C2" s="617"/>
      <c r="D2" s="617"/>
      <c r="E2" s="617"/>
      <c r="F2" s="617"/>
      <c r="G2" s="617"/>
      <c r="H2" s="617"/>
      <c r="I2" s="617"/>
      <c r="J2" s="617"/>
      <c r="K2" s="617"/>
      <c r="L2" s="617"/>
      <c r="N2" s="618" t="s">
        <v>20</v>
      </c>
      <c r="O2" s="618"/>
      <c r="P2" s="618"/>
      <c r="Q2" s="618"/>
      <c r="R2" s="618"/>
      <c r="S2" s="618"/>
      <c r="T2" s="618"/>
      <c r="U2" s="618"/>
      <c r="V2" s="618"/>
      <c r="W2" s="618"/>
      <c r="X2" s="618"/>
    </row>
    <row r="3" spans="1:24" ht="17.5">
      <c r="B3" s="604" t="s">
        <v>236</v>
      </c>
      <c r="C3" s="604"/>
      <c r="D3" s="604"/>
      <c r="E3" s="604"/>
      <c r="F3" s="604"/>
      <c r="G3" s="604"/>
      <c r="H3" s="604"/>
      <c r="I3" s="604"/>
      <c r="J3" s="604"/>
      <c r="K3" s="604"/>
      <c r="L3" s="604"/>
      <c r="N3" s="604" t="s">
        <v>236</v>
      </c>
      <c r="O3" s="604"/>
      <c r="P3" s="604"/>
      <c r="Q3" s="604"/>
      <c r="R3" s="604"/>
      <c r="S3" s="604"/>
      <c r="T3" s="604"/>
      <c r="U3" s="604"/>
      <c r="V3" s="604"/>
      <c r="W3" s="604"/>
      <c r="X3" s="604"/>
    </row>
    <row r="4" spans="1:24" ht="22.5" customHeight="1">
      <c r="B4" s="29" t="s">
        <v>237</v>
      </c>
      <c r="C4" s="613" t="s">
        <v>1578</v>
      </c>
      <c r="D4" s="613"/>
      <c r="E4" s="613"/>
      <c r="F4" s="613"/>
      <c r="G4" s="613"/>
      <c r="H4" s="613"/>
      <c r="I4" s="613"/>
      <c r="J4" s="613"/>
      <c r="K4" s="613"/>
      <c r="L4" s="613"/>
      <c r="N4" s="29" t="s">
        <v>237</v>
      </c>
      <c r="O4" s="613" t="s">
        <v>1578</v>
      </c>
      <c r="P4" s="613"/>
      <c r="Q4" s="613"/>
      <c r="R4" s="613"/>
      <c r="S4" s="613"/>
      <c r="T4" s="613"/>
      <c r="U4" s="613"/>
      <c r="V4" s="613"/>
      <c r="W4" s="613"/>
      <c r="X4" s="613"/>
    </row>
    <row r="5" spans="1:24" ht="22.5" customHeight="1">
      <c r="B5" s="29" t="s">
        <v>238</v>
      </c>
      <c r="C5" s="613" t="s">
        <v>1626</v>
      </c>
      <c r="D5" s="613"/>
      <c r="E5" s="613"/>
      <c r="F5" s="613"/>
      <c r="G5" s="613"/>
      <c r="H5" s="613"/>
      <c r="I5" s="613"/>
      <c r="J5" s="613"/>
      <c r="K5" s="613"/>
      <c r="L5" s="613"/>
      <c r="N5" s="29" t="s">
        <v>238</v>
      </c>
      <c r="O5" s="613" t="s">
        <v>1626</v>
      </c>
      <c r="P5" s="613"/>
      <c r="Q5" s="613"/>
      <c r="R5" s="613"/>
      <c r="S5" s="613"/>
      <c r="T5" s="613"/>
      <c r="U5" s="613"/>
      <c r="V5" s="613"/>
      <c r="W5" s="613"/>
      <c r="X5" s="613"/>
    </row>
    <row r="6" spans="1:24" ht="22.5" customHeight="1">
      <c r="A6" s="37"/>
      <c r="B6" s="29" t="s">
        <v>239</v>
      </c>
      <c r="C6" s="582">
        <v>44990</v>
      </c>
      <c r="D6" s="583">
        <v>0.375</v>
      </c>
      <c r="E6" s="584" t="s">
        <v>183</v>
      </c>
      <c r="F6" s="582">
        <v>44990</v>
      </c>
      <c r="G6" s="583">
        <v>0.625</v>
      </c>
      <c r="H6" s="585" t="s">
        <v>240</v>
      </c>
      <c r="I6" s="586">
        <f>DATEDIF(C6,F6,"d")</f>
        <v>0</v>
      </c>
      <c r="J6" s="587" t="s">
        <v>241</v>
      </c>
      <c r="K6" s="588">
        <f>I6+1</f>
        <v>1</v>
      </c>
      <c r="L6" s="589" t="s">
        <v>242</v>
      </c>
      <c r="N6" s="29" t="s">
        <v>239</v>
      </c>
      <c r="O6" s="582">
        <v>44990</v>
      </c>
      <c r="P6" s="583">
        <v>0.375</v>
      </c>
      <c r="Q6" s="584" t="s">
        <v>183</v>
      </c>
      <c r="R6" s="582">
        <v>44990</v>
      </c>
      <c r="S6" s="583">
        <v>0.625</v>
      </c>
      <c r="T6" s="585" t="s">
        <v>240</v>
      </c>
      <c r="U6" s="586">
        <f>DATEDIF(O6,R6,"d")</f>
        <v>0</v>
      </c>
      <c r="V6" s="587" t="s">
        <v>241</v>
      </c>
      <c r="W6" s="588">
        <f>U6+1</f>
        <v>1</v>
      </c>
      <c r="X6" s="589" t="s">
        <v>242</v>
      </c>
    </row>
    <row r="7" spans="1:24" ht="26.25" customHeight="1">
      <c r="A7" s="37"/>
      <c r="B7" s="29" t="s">
        <v>243</v>
      </c>
      <c r="C7" s="614" t="s">
        <v>1619</v>
      </c>
      <c r="D7" s="614"/>
      <c r="E7" s="614"/>
      <c r="F7" s="614"/>
      <c r="G7" s="614"/>
      <c r="H7" s="614"/>
      <c r="I7" s="614"/>
      <c r="J7" s="614"/>
      <c r="K7" s="614"/>
      <c r="L7" s="614"/>
      <c r="N7" s="29" t="s">
        <v>243</v>
      </c>
      <c r="O7" s="614" t="s">
        <v>1619</v>
      </c>
      <c r="P7" s="614"/>
      <c r="Q7" s="614"/>
      <c r="R7" s="614"/>
      <c r="S7" s="614"/>
      <c r="T7" s="614"/>
      <c r="U7" s="614"/>
      <c r="V7" s="614"/>
      <c r="W7" s="614"/>
      <c r="X7" s="614"/>
    </row>
    <row r="8" spans="1:24" ht="22.5" customHeight="1">
      <c r="A8" s="37"/>
      <c r="B8" s="615" t="s">
        <v>244</v>
      </c>
      <c r="C8" s="615" t="s">
        <v>188</v>
      </c>
      <c r="D8" s="615"/>
      <c r="E8" s="615" t="s">
        <v>190</v>
      </c>
      <c r="F8" s="615"/>
      <c r="G8" s="615"/>
      <c r="H8" s="615"/>
      <c r="I8" s="616" t="s">
        <v>189</v>
      </c>
      <c r="J8" s="616"/>
      <c r="K8" s="616"/>
      <c r="L8" s="616"/>
      <c r="N8" s="615" t="s">
        <v>244</v>
      </c>
      <c r="O8" s="615" t="s">
        <v>188</v>
      </c>
      <c r="P8" s="615"/>
      <c r="Q8" s="615" t="s">
        <v>190</v>
      </c>
      <c r="R8" s="615"/>
      <c r="S8" s="615"/>
      <c r="T8" s="615"/>
      <c r="U8" s="616" t="s">
        <v>189</v>
      </c>
      <c r="V8" s="616"/>
      <c r="W8" s="616"/>
      <c r="X8" s="616"/>
    </row>
    <row r="9" spans="1:24" ht="22.5" customHeight="1">
      <c r="A9" s="37"/>
      <c r="B9" s="615"/>
      <c r="C9" s="611" t="s">
        <v>1620</v>
      </c>
      <c r="D9" s="611"/>
      <c r="E9" s="611" t="s">
        <v>1621</v>
      </c>
      <c r="F9" s="611"/>
      <c r="G9" s="611"/>
      <c r="H9" s="611"/>
      <c r="I9" s="612" t="s">
        <v>1622</v>
      </c>
      <c r="J9" s="612"/>
      <c r="K9" s="612"/>
      <c r="L9" s="612"/>
      <c r="N9" s="615"/>
      <c r="O9" s="611" t="s">
        <v>1620</v>
      </c>
      <c r="P9" s="611"/>
      <c r="Q9" s="611" t="s">
        <v>1621</v>
      </c>
      <c r="R9" s="611"/>
      <c r="S9" s="611"/>
      <c r="T9" s="611"/>
      <c r="U9" s="612" t="s">
        <v>1622</v>
      </c>
      <c r="V9" s="612"/>
      <c r="W9" s="612"/>
      <c r="X9" s="612"/>
    </row>
    <row r="10" spans="1:24" ht="22.5" customHeight="1">
      <c r="B10" s="615"/>
      <c r="C10" s="610" t="str">
        <f>IFERROR(INDEX(#REF!,MATCH(#REF!,이름,0)),"")</f>
        <v/>
      </c>
      <c r="D10" s="610"/>
      <c r="E10" s="610"/>
      <c r="F10" s="610"/>
      <c r="G10" s="610"/>
      <c r="H10" s="610"/>
      <c r="I10" s="609"/>
      <c r="J10" s="609"/>
      <c r="K10" s="609"/>
      <c r="L10" s="609"/>
      <c r="N10" s="615"/>
      <c r="O10" s="610" t="str">
        <f>IFERROR(INDEX(#REF!,MATCH(#REF!,이름,0)),"")</f>
        <v/>
      </c>
      <c r="P10" s="610"/>
      <c r="Q10" s="610"/>
      <c r="R10" s="610"/>
      <c r="S10" s="610"/>
      <c r="T10" s="610"/>
      <c r="U10" s="609"/>
      <c r="V10" s="609"/>
      <c r="W10" s="609"/>
      <c r="X10" s="609"/>
    </row>
    <row r="11" spans="1:24" ht="22.5" customHeight="1">
      <c r="B11" s="615"/>
      <c r="C11" s="610" t="str">
        <f>IFERROR(INDEX(#REF!,MATCH(#REF!,이름,0)),"")</f>
        <v/>
      </c>
      <c r="D11" s="610"/>
      <c r="E11" s="610"/>
      <c r="F11" s="610"/>
      <c r="G11" s="610"/>
      <c r="H11" s="610"/>
      <c r="I11" s="609"/>
      <c r="J11" s="609"/>
      <c r="K11" s="609"/>
      <c r="L11" s="609"/>
      <c r="N11" s="615"/>
      <c r="O11" s="610" t="str">
        <f>IFERROR(INDEX(#REF!,MATCH(#REF!,이름,0)),"")</f>
        <v/>
      </c>
      <c r="P11" s="610"/>
      <c r="Q11" s="610"/>
      <c r="R11" s="610"/>
      <c r="S11" s="610"/>
      <c r="T11" s="610"/>
      <c r="U11" s="609"/>
      <c r="V11" s="609"/>
      <c r="W11" s="609"/>
      <c r="X11" s="609"/>
    </row>
    <row r="12" spans="1:24" ht="22.5" customHeight="1">
      <c r="B12" s="615"/>
      <c r="C12" s="610" t="str">
        <f>IFERROR(INDEX(#REF!,MATCH(#REF!,이름,0)),"")</f>
        <v/>
      </c>
      <c r="D12" s="610"/>
      <c r="E12" s="610"/>
      <c r="F12" s="610"/>
      <c r="G12" s="610"/>
      <c r="H12" s="610"/>
      <c r="I12" s="609"/>
      <c r="J12" s="609"/>
      <c r="K12" s="609"/>
      <c r="L12" s="609"/>
      <c r="N12" s="615"/>
      <c r="O12" s="610" t="str">
        <f>IFERROR(INDEX(#REF!,MATCH(#REF!,이름,0)),"")</f>
        <v/>
      </c>
      <c r="P12" s="610"/>
      <c r="Q12" s="610"/>
      <c r="R12" s="610"/>
      <c r="S12" s="610"/>
      <c r="T12" s="610"/>
      <c r="U12" s="609"/>
      <c r="V12" s="609"/>
      <c r="W12" s="609"/>
      <c r="X12" s="609"/>
    </row>
    <row r="13" spans="1:24" ht="18" customHeight="1">
      <c r="A13" s="37"/>
      <c r="B13" s="49"/>
      <c r="C13" s="49"/>
      <c r="D13" s="49"/>
      <c r="E13" s="49"/>
      <c r="F13" s="49"/>
      <c r="G13" s="49"/>
      <c r="H13" s="49"/>
      <c r="I13" s="50"/>
      <c r="J13" s="50"/>
      <c r="K13" s="50"/>
      <c r="L13" s="50"/>
      <c r="N13" s="49"/>
      <c r="O13" s="49"/>
      <c r="P13" s="49"/>
      <c r="Q13" s="49"/>
      <c r="R13" s="49"/>
      <c r="S13" s="49"/>
      <c r="T13" s="49"/>
      <c r="U13" s="50"/>
      <c r="V13" s="50"/>
      <c r="W13" s="50"/>
      <c r="X13" s="50"/>
    </row>
    <row r="14" spans="1:24" ht="17.5">
      <c r="A14" s="37"/>
      <c r="B14" s="604" t="s">
        <v>245</v>
      </c>
      <c r="C14" s="604"/>
      <c r="D14" s="604"/>
      <c r="E14" s="604"/>
      <c r="F14" s="604"/>
      <c r="G14" s="604"/>
      <c r="H14" s="604"/>
      <c r="I14" s="604"/>
      <c r="J14" s="604"/>
      <c r="K14" s="604"/>
      <c r="L14" s="604"/>
      <c r="N14" s="604" t="s">
        <v>245</v>
      </c>
      <c r="O14" s="604"/>
      <c r="P14" s="604"/>
      <c r="Q14" s="604"/>
      <c r="R14" s="604"/>
      <c r="S14" s="604"/>
      <c r="T14" s="604"/>
      <c r="U14" s="604"/>
      <c r="V14" s="604"/>
      <c r="W14" s="604"/>
      <c r="X14" s="604"/>
    </row>
    <row r="15" spans="1:24" ht="22.5" customHeight="1">
      <c r="A15" s="37"/>
      <c r="B15" s="51" t="s">
        <v>246</v>
      </c>
      <c r="C15" s="51" t="s">
        <v>247</v>
      </c>
      <c r="D15" s="51" t="s">
        <v>248</v>
      </c>
      <c r="E15" s="605" t="s">
        <v>249</v>
      </c>
      <c r="F15" s="605"/>
      <c r="G15" s="606" t="s">
        <v>250</v>
      </c>
      <c r="H15" s="607"/>
      <c r="I15" s="607"/>
      <c r="J15" s="607"/>
      <c r="K15" s="607"/>
      <c r="L15" s="608"/>
      <c r="N15" s="51" t="s">
        <v>246</v>
      </c>
      <c r="O15" s="51" t="s">
        <v>247</v>
      </c>
      <c r="P15" s="51" t="s">
        <v>248</v>
      </c>
      <c r="Q15" s="605" t="s">
        <v>249</v>
      </c>
      <c r="R15" s="605"/>
      <c r="S15" s="606" t="s">
        <v>250</v>
      </c>
      <c r="T15" s="607"/>
      <c r="U15" s="607"/>
      <c r="V15" s="607"/>
      <c r="W15" s="607"/>
      <c r="X15" s="608"/>
    </row>
    <row r="16" spans="1:24" ht="22.5" customHeight="1">
      <c r="A16" s="37"/>
      <c r="B16" s="154">
        <v>230305</v>
      </c>
      <c r="C16" s="56" t="s">
        <v>1623</v>
      </c>
      <c r="D16" s="56" t="s">
        <v>1623</v>
      </c>
      <c r="E16" s="597" t="s">
        <v>1624</v>
      </c>
      <c r="F16" s="597"/>
      <c r="G16" s="601" t="s">
        <v>1626</v>
      </c>
      <c r="H16" s="602"/>
      <c r="I16" s="602"/>
      <c r="J16" s="602"/>
      <c r="K16" s="602"/>
      <c r="L16" s="603"/>
      <c r="N16" s="154">
        <v>230305</v>
      </c>
      <c r="O16" s="56" t="s">
        <v>1623</v>
      </c>
      <c r="P16" s="56" t="s">
        <v>1623</v>
      </c>
      <c r="Q16" s="597" t="s">
        <v>1624</v>
      </c>
      <c r="R16" s="597"/>
      <c r="S16" s="601" t="s">
        <v>1627</v>
      </c>
      <c r="T16" s="602"/>
      <c r="U16" s="602"/>
      <c r="V16" s="602"/>
      <c r="W16" s="602"/>
      <c r="X16" s="603"/>
    </row>
    <row r="17" spans="1:24" ht="22.5" customHeight="1">
      <c r="A17" s="37"/>
      <c r="B17" s="154"/>
      <c r="C17" s="56"/>
      <c r="D17" s="56"/>
      <c r="E17" s="598"/>
      <c r="F17" s="599"/>
      <c r="G17" s="598"/>
      <c r="H17" s="600"/>
      <c r="I17" s="600"/>
      <c r="J17" s="600"/>
      <c r="K17" s="600"/>
      <c r="L17" s="599"/>
      <c r="N17" s="154"/>
      <c r="O17" s="52"/>
      <c r="P17" s="52"/>
      <c r="Q17" s="598"/>
      <c r="R17" s="599"/>
      <c r="S17" s="598"/>
      <c r="T17" s="600"/>
      <c r="U17" s="600"/>
      <c r="V17" s="600"/>
      <c r="W17" s="600"/>
      <c r="X17" s="599"/>
    </row>
    <row r="18" spans="1:24" ht="22.5" customHeight="1">
      <c r="A18" s="37"/>
      <c r="B18" s="154"/>
      <c r="C18" s="56"/>
      <c r="D18" s="56"/>
      <c r="E18" s="598"/>
      <c r="F18" s="599"/>
      <c r="G18" s="598"/>
      <c r="H18" s="600"/>
      <c r="I18" s="600"/>
      <c r="J18" s="600"/>
      <c r="K18" s="600"/>
      <c r="L18" s="599"/>
      <c r="N18" s="154"/>
      <c r="O18" s="52"/>
      <c r="P18" s="52"/>
      <c r="Q18" s="598"/>
      <c r="R18" s="599"/>
      <c r="S18" s="598"/>
      <c r="T18" s="600"/>
      <c r="U18" s="600"/>
      <c r="V18" s="600"/>
      <c r="W18" s="600"/>
      <c r="X18" s="599"/>
    </row>
    <row r="19" spans="1:24" ht="22.5" customHeight="1">
      <c r="B19" s="154"/>
      <c r="C19" s="56"/>
      <c r="D19" s="56"/>
      <c r="E19" s="597"/>
      <c r="F19" s="597"/>
      <c r="G19" s="598"/>
      <c r="H19" s="600"/>
      <c r="I19" s="600"/>
      <c r="J19" s="600"/>
      <c r="K19" s="600"/>
      <c r="L19" s="599"/>
      <c r="N19" s="154"/>
      <c r="O19" s="52"/>
      <c r="P19" s="52"/>
      <c r="Q19" s="597"/>
      <c r="R19" s="597"/>
      <c r="S19" s="598"/>
      <c r="T19" s="600"/>
      <c r="U19" s="600"/>
      <c r="V19" s="600"/>
      <c r="W19" s="600"/>
      <c r="X19" s="599"/>
    </row>
    <row r="20" spans="1:24" ht="22.5" customHeight="1">
      <c r="A20" s="37"/>
      <c r="B20" s="154"/>
      <c r="C20" s="56"/>
      <c r="D20" s="56"/>
      <c r="E20" s="597"/>
      <c r="F20" s="597"/>
      <c r="G20" s="598"/>
      <c r="H20" s="600"/>
      <c r="I20" s="600"/>
      <c r="J20" s="600"/>
      <c r="K20" s="600"/>
      <c r="L20" s="599"/>
      <c r="N20" s="154"/>
      <c r="O20" s="52"/>
      <c r="P20" s="52"/>
      <c r="Q20" s="597"/>
      <c r="R20" s="597"/>
      <c r="S20" s="598"/>
      <c r="T20" s="600"/>
      <c r="U20" s="600"/>
      <c r="V20" s="600"/>
      <c r="W20" s="600"/>
      <c r="X20" s="599"/>
    </row>
    <row r="21" spans="1:24">
      <c r="A21" s="37"/>
      <c r="B21" s="593"/>
      <c r="C21" s="593"/>
      <c r="D21" s="593"/>
      <c r="E21" s="593"/>
      <c r="F21" s="593"/>
      <c r="G21" s="593"/>
      <c r="H21" s="593"/>
      <c r="I21" s="593"/>
      <c r="J21" s="593"/>
      <c r="K21" s="593"/>
      <c r="N21" s="4"/>
      <c r="O21" s="4"/>
      <c r="P21" s="4"/>
      <c r="Q21" s="24"/>
      <c r="R21" s="24"/>
      <c r="S21" s="53"/>
      <c r="T21" s="53"/>
      <c r="U21" s="53"/>
      <c r="V21" s="53"/>
      <c r="W21" s="53"/>
      <c r="X21" s="4"/>
    </row>
    <row r="22" spans="1:24">
      <c r="A22" s="37"/>
      <c r="B22" s="594" t="s">
        <v>252</v>
      </c>
      <c r="C22" s="594"/>
      <c r="D22" s="594"/>
      <c r="E22" s="594"/>
      <c r="F22" s="594"/>
      <c r="G22" s="594"/>
      <c r="H22" s="594"/>
      <c r="I22" s="594"/>
      <c r="J22" s="594"/>
      <c r="K22" s="594"/>
      <c r="N22" s="594" t="s">
        <v>253</v>
      </c>
      <c r="O22" s="594"/>
      <c r="P22" s="594"/>
      <c r="Q22" s="594"/>
      <c r="R22" s="594"/>
      <c r="S22" s="594"/>
      <c r="T22" s="594"/>
      <c r="U22" s="594"/>
      <c r="V22" s="594"/>
      <c r="W22" s="594"/>
      <c r="X22" s="594"/>
    </row>
    <row r="23" spans="1:24" ht="16.5" customHeight="1">
      <c r="B23" s="594"/>
      <c r="C23" s="594"/>
      <c r="D23" s="594"/>
      <c r="E23" s="594"/>
      <c r="F23" s="594"/>
      <c r="G23" s="594"/>
      <c r="H23" s="594"/>
      <c r="I23" s="594"/>
      <c r="J23" s="594"/>
      <c r="K23" s="594"/>
      <c r="N23" s="593"/>
      <c r="O23" s="593"/>
      <c r="P23" s="593"/>
      <c r="Q23" s="593"/>
      <c r="R23" s="593"/>
      <c r="S23" s="593"/>
      <c r="T23" s="593"/>
      <c r="U23" s="593"/>
      <c r="V23" s="593"/>
      <c r="W23" s="593"/>
      <c r="X23" s="593"/>
    </row>
    <row r="24" spans="1:24" ht="16.5" customHeight="1">
      <c r="A24" s="37"/>
      <c r="B24" s="596">
        <v>46085</v>
      </c>
      <c r="C24" s="596"/>
      <c r="D24" s="596"/>
      <c r="E24" s="596"/>
      <c r="F24" s="596"/>
      <c r="G24" s="596"/>
      <c r="H24" s="596"/>
      <c r="I24" s="596"/>
      <c r="J24" s="596"/>
      <c r="K24" s="596"/>
      <c r="L24" s="596"/>
      <c r="N24" s="596">
        <f ca="1">TODAY()</f>
        <v>46132</v>
      </c>
      <c r="O24" s="596"/>
      <c r="P24" s="596"/>
      <c r="Q24" s="596"/>
      <c r="R24" s="596"/>
      <c r="S24" s="596"/>
      <c r="T24" s="596"/>
      <c r="U24" s="596"/>
      <c r="V24" s="596"/>
      <c r="W24" s="596"/>
      <c r="X24" s="596"/>
    </row>
    <row r="25" spans="1:24">
      <c r="A25" s="37"/>
      <c r="B25" s="593"/>
      <c r="C25" s="593"/>
      <c r="D25" s="593"/>
      <c r="E25" s="593"/>
      <c r="F25" s="593"/>
      <c r="G25" s="593"/>
      <c r="H25" s="593"/>
      <c r="I25" s="593"/>
      <c r="J25" s="593"/>
      <c r="K25" s="593"/>
      <c r="N25" s="593"/>
      <c r="O25" s="593"/>
      <c r="P25" s="593"/>
      <c r="Q25" s="593"/>
      <c r="R25" s="593"/>
      <c r="S25" s="593"/>
      <c r="T25" s="593"/>
      <c r="U25" s="593"/>
      <c r="V25" s="593"/>
      <c r="W25" s="593"/>
      <c r="X25" s="593"/>
    </row>
    <row r="26" spans="1:24">
      <c r="A26" s="37"/>
      <c r="B26" s="593"/>
      <c r="C26" s="593"/>
      <c r="D26" s="593"/>
      <c r="E26" s="4" t="s">
        <v>78</v>
      </c>
      <c r="F26" s="6"/>
      <c r="G26" s="595" t="s">
        <v>1625</v>
      </c>
      <c r="H26" s="595"/>
      <c r="I26" s="595"/>
      <c r="J26" s="595"/>
      <c r="K26" s="595"/>
      <c r="L26" s="595"/>
      <c r="N26" s="593"/>
      <c r="O26" s="593"/>
      <c r="P26" s="593"/>
      <c r="Q26" s="593"/>
      <c r="R26" s="593"/>
      <c r="S26" s="594" t="s">
        <v>78</v>
      </c>
      <c r="T26" s="594"/>
      <c r="U26" s="595" t="s">
        <v>1625</v>
      </c>
      <c r="V26" s="595"/>
      <c r="W26" s="595"/>
      <c r="X26" s="595"/>
    </row>
    <row r="27" spans="1:24">
      <c r="A27" s="37"/>
      <c r="B27" s="593"/>
      <c r="C27" s="593"/>
      <c r="D27" s="593"/>
      <c r="E27" s="593"/>
      <c r="F27" s="593"/>
      <c r="G27" s="593"/>
      <c r="H27" s="593"/>
      <c r="I27" s="593"/>
      <c r="J27" s="593"/>
      <c r="K27" s="593"/>
      <c r="N27" s="593"/>
      <c r="O27" s="593"/>
      <c r="P27" s="593"/>
      <c r="Q27" s="593"/>
      <c r="R27" s="593"/>
      <c r="S27" s="593"/>
      <c r="T27" s="593"/>
      <c r="U27" s="593"/>
      <c r="V27" s="593"/>
      <c r="W27" s="593"/>
      <c r="X27" s="593"/>
    </row>
    <row r="28" spans="1:24" ht="16.5" customHeight="1">
      <c r="A28" s="37"/>
      <c r="B28" s="590" t="s">
        <v>1420</v>
      </c>
      <c r="C28" s="590"/>
      <c r="D28" s="590"/>
      <c r="E28" s="590"/>
      <c r="F28" s="590"/>
      <c r="G28" s="590"/>
      <c r="H28" s="590"/>
      <c r="I28" s="590"/>
      <c r="J28" s="590"/>
      <c r="K28" s="590"/>
      <c r="L28" s="590"/>
      <c r="N28" s="590" t="s">
        <v>1420</v>
      </c>
      <c r="O28" s="590"/>
      <c r="P28" s="590"/>
      <c r="Q28" s="590"/>
      <c r="R28" s="590"/>
      <c r="S28" s="590"/>
      <c r="T28" s="590"/>
      <c r="U28" s="590"/>
      <c r="V28" s="590"/>
      <c r="W28" s="590"/>
      <c r="X28" s="590"/>
    </row>
    <row r="29" spans="1:24" ht="36" customHeight="1">
      <c r="A29" s="37"/>
      <c r="N29" s="591" t="s">
        <v>1430</v>
      </c>
      <c r="O29" s="592"/>
      <c r="P29" s="592"/>
      <c r="Q29" s="592"/>
      <c r="R29" s="592"/>
      <c r="S29" s="592"/>
      <c r="T29" s="592"/>
      <c r="U29" s="592"/>
      <c r="V29" s="592"/>
      <c r="W29" s="592"/>
      <c r="X29" s="592"/>
    </row>
    <row r="30" spans="1:24">
      <c r="A30" s="37"/>
      <c r="N30" s="4"/>
      <c r="O30" s="4"/>
      <c r="P30" s="4"/>
      <c r="Q30" s="4"/>
      <c r="R30" s="4"/>
      <c r="S30" s="4"/>
      <c r="T30" s="4"/>
      <c r="U30" s="4"/>
      <c r="V30" s="4"/>
      <c r="W30" s="4"/>
      <c r="X30" s="4"/>
    </row>
    <row r="31" spans="1:24" s="4" customFormat="1">
      <c r="A31" s="37"/>
      <c r="B31"/>
      <c r="C31"/>
      <c r="D31"/>
      <c r="E31"/>
      <c r="F31"/>
      <c r="G31"/>
      <c r="H31"/>
      <c r="I31"/>
      <c r="J31"/>
      <c r="K31"/>
      <c r="L31"/>
    </row>
    <row r="32" spans="1:24" s="4" customFormat="1">
      <c r="A32" s="46"/>
      <c r="B32"/>
      <c r="C32"/>
      <c r="D32"/>
      <c r="E32"/>
      <c r="F32"/>
      <c r="G32"/>
      <c r="H32"/>
      <c r="I32"/>
      <c r="J32"/>
      <c r="K32"/>
      <c r="L32"/>
    </row>
    <row r="33" spans="1:24" s="4" customFormat="1">
      <c r="A33" s="35"/>
      <c r="B33"/>
      <c r="C33"/>
      <c r="D33"/>
      <c r="E33"/>
      <c r="F33"/>
      <c r="G33"/>
      <c r="H33"/>
      <c r="I33"/>
      <c r="J33"/>
      <c r="K33"/>
      <c r="L33"/>
    </row>
    <row r="34" spans="1:24" s="4" customFormat="1">
      <c r="A34" s="46"/>
      <c r="B34"/>
      <c r="C34"/>
      <c r="D34"/>
      <c r="E34"/>
      <c r="F34"/>
      <c r="G34"/>
      <c r="H34"/>
      <c r="I34"/>
      <c r="J34"/>
      <c r="K34"/>
      <c r="L34"/>
    </row>
    <row r="35" spans="1:24" s="4" customFormat="1">
      <c r="A35" s="35"/>
      <c r="B35"/>
      <c r="C35"/>
      <c r="D35"/>
      <c r="E35"/>
      <c r="F35"/>
      <c r="G35"/>
      <c r="H35"/>
      <c r="I35"/>
      <c r="J35"/>
      <c r="K35"/>
      <c r="L35"/>
    </row>
    <row r="36" spans="1:24" s="4" customFormat="1">
      <c r="A36" s="35"/>
      <c r="B36"/>
      <c r="C36"/>
      <c r="D36"/>
      <c r="E36"/>
      <c r="F36"/>
      <c r="G36"/>
      <c r="H36"/>
      <c r="I36"/>
      <c r="J36"/>
      <c r="K36"/>
      <c r="L36"/>
    </row>
    <row r="37" spans="1:24" s="4" customFormat="1">
      <c r="A37" s="35"/>
      <c r="B37"/>
      <c r="C37"/>
      <c r="D37"/>
      <c r="E37"/>
      <c r="F37"/>
      <c r="G37"/>
      <c r="H37"/>
      <c r="I37"/>
      <c r="J37"/>
      <c r="K37"/>
      <c r="L37"/>
      <c r="N37"/>
      <c r="O37"/>
      <c r="P37"/>
      <c r="Q37"/>
      <c r="R37"/>
      <c r="S37"/>
      <c r="T37"/>
      <c r="U37"/>
      <c r="V37"/>
      <c r="W37"/>
      <c r="X37"/>
    </row>
    <row r="38" spans="1:24">
      <c r="A38" s="46"/>
    </row>
  </sheetData>
  <mergeCells count="87">
    <mergeCell ref="Q17:R17"/>
    <mergeCell ref="Q18:R18"/>
    <mergeCell ref="G15:L15"/>
    <mergeCell ref="G20:L20"/>
    <mergeCell ref="G19:L19"/>
    <mergeCell ref="G18:L18"/>
    <mergeCell ref="G17:L17"/>
    <mergeCell ref="G16:L16"/>
    <mergeCell ref="B2:L2"/>
    <mergeCell ref="N2:X2"/>
    <mergeCell ref="B3:L3"/>
    <mergeCell ref="N3:X3"/>
    <mergeCell ref="C4:L4"/>
    <mergeCell ref="O4:X4"/>
    <mergeCell ref="C5:L5"/>
    <mergeCell ref="O5:X5"/>
    <mergeCell ref="C7:L7"/>
    <mergeCell ref="O7:X7"/>
    <mergeCell ref="B8:B12"/>
    <mergeCell ref="C8:D8"/>
    <mergeCell ref="E8:H8"/>
    <mergeCell ref="I8:L8"/>
    <mergeCell ref="N8:N12"/>
    <mergeCell ref="O8:P8"/>
    <mergeCell ref="U10:X10"/>
    <mergeCell ref="Q8:T8"/>
    <mergeCell ref="U8:X8"/>
    <mergeCell ref="C9:D9"/>
    <mergeCell ref="E9:H9"/>
    <mergeCell ref="I9:L9"/>
    <mergeCell ref="O9:P9"/>
    <mergeCell ref="Q9:T9"/>
    <mergeCell ref="U9:X9"/>
    <mergeCell ref="C10:D10"/>
    <mergeCell ref="E10:H10"/>
    <mergeCell ref="I10:L10"/>
    <mergeCell ref="O10:P10"/>
    <mergeCell ref="Q10:T10"/>
    <mergeCell ref="U12:X12"/>
    <mergeCell ref="C11:D11"/>
    <mergeCell ref="E11:H11"/>
    <mergeCell ref="I11:L11"/>
    <mergeCell ref="O11:P11"/>
    <mergeCell ref="Q11:T11"/>
    <mergeCell ref="U11:X11"/>
    <mergeCell ref="C12:D12"/>
    <mergeCell ref="E12:H12"/>
    <mergeCell ref="I12:L12"/>
    <mergeCell ref="O12:P12"/>
    <mergeCell ref="Q12:T12"/>
    <mergeCell ref="B14:L14"/>
    <mergeCell ref="N14:X14"/>
    <mergeCell ref="E15:F15"/>
    <mergeCell ref="Q15:R15"/>
    <mergeCell ref="S15:X15"/>
    <mergeCell ref="B22:K22"/>
    <mergeCell ref="N22:X22"/>
    <mergeCell ref="E16:F16"/>
    <mergeCell ref="Q16:R16"/>
    <mergeCell ref="E19:F19"/>
    <mergeCell ref="Q19:R19"/>
    <mergeCell ref="E20:F20"/>
    <mergeCell ref="Q20:R20"/>
    <mergeCell ref="B21:K21"/>
    <mergeCell ref="E18:F18"/>
    <mergeCell ref="E17:F17"/>
    <mergeCell ref="S20:X20"/>
    <mergeCell ref="S19:X19"/>
    <mergeCell ref="S18:X18"/>
    <mergeCell ref="S17:X17"/>
    <mergeCell ref="S16:X16"/>
    <mergeCell ref="B23:K23"/>
    <mergeCell ref="N23:X23"/>
    <mergeCell ref="N24:X24"/>
    <mergeCell ref="B25:K25"/>
    <mergeCell ref="N25:X25"/>
    <mergeCell ref="B24:L24"/>
    <mergeCell ref="B28:L28"/>
    <mergeCell ref="N28:X28"/>
    <mergeCell ref="N29:X29"/>
    <mergeCell ref="B26:D26"/>
    <mergeCell ref="N26:R26"/>
    <mergeCell ref="S26:T26"/>
    <mergeCell ref="B27:K27"/>
    <mergeCell ref="N27:X27"/>
    <mergeCell ref="G26:L26"/>
    <mergeCell ref="U26:X26"/>
  </mergeCells>
  <phoneticPr fontId="4" type="noConversion"/>
  <dataValidations count="2">
    <dataValidation allowBlank="1" showInputMessage="1" showErrorMessage="1" prompt="시:분_x000a_(24시간제)" sqref="D6 G6 P6 S6" xr:uid="{00000000-0002-0000-0900-000000000000}"/>
    <dataValidation type="date" allowBlank="1" showInputMessage="1" showErrorMessage="1" prompt="yymmdd_x000a_(년-월-일)" sqref="C6 F6 B16:B20 R6 O6 N16:N20" xr:uid="{00000000-0002-0000-0900-000001000000}">
      <formula1>36526</formula1>
      <formula2>401768</formula2>
    </dataValidation>
  </dataValidations>
  <printOptions horizontalCentered="1"/>
  <pageMargins left="0.23622047244094502" right="0.23622047244094502" top="0.74803149606299202" bottom="0.74803149606299202" header="0.31496062992126" footer="0.31496062992126"/>
  <pageSetup paperSize="9"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출장신청서">
                <anchor moveWithCells="1" sizeWithCells="1">
                  <from>
                    <xdr:col>2</xdr:col>
                    <xdr:colOff>285750</xdr:colOff>
                    <xdr:row>28</xdr:row>
                    <xdr:rowOff>203200</xdr:rowOff>
                  </from>
                  <to>
                    <xdr:col>6</xdr:col>
                    <xdr:colOff>355600</xdr:colOff>
                    <xdr:row>29</xdr:row>
                    <xdr:rowOff>107950</xdr:rowOff>
                  </to>
                </anchor>
              </controlPr>
            </control>
          </mc:Choice>
        </mc:AlternateContent>
        <mc:AlternateContent xmlns:mc="http://schemas.openxmlformats.org/markup-compatibility/2006">
          <mc:Choice Requires="x14">
            <control shapeId="7171" r:id="rId5" name="Button 3">
              <controlPr defaultSize="0" print="0" autoFill="0" autoPict="0" macro="[0]!출장결과보고서">
                <anchor moveWithCells="1" sizeWithCells="1">
                  <from>
                    <xdr:col>14</xdr:col>
                    <xdr:colOff>603250</xdr:colOff>
                    <xdr:row>29</xdr:row>
                    <xdr:rowOff>171450</xdr:rowOff>
                  </from>
                  <to>
                    <xdr:col>19</xdr:col>
                    <xdr:colOff>152400</xdr:colOff>
                    <xdr:row>31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2000000}">
          <x14:formula1>
            <xm:f>Sheet1!$E$2:$E$7</xm:f>
          </x14:formula1>
          <xm:sqref>C4:L4 O4:X4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theme="4" tint="-0.499984740745262"/>
    <pageSetUpPr fitToPage="1"/>
  </sheetPr>
  <dimension ref="A1:J38"/>
  <sheetViews>
    <sheetView showGridLines="0" zoomScale="70" zoomScaleNormal="70" workbookViewId="0">
      <selection activeCell="G8" sqref="G8:J8"/>
    </sheetView>
  </sheetViews>
  <sheetFormatPr defaultColWidth="9" defaultRowHeight="17"/>
  <cols>
    <col min="1" max="1" width="1.25" style="35" customWidth="1"/>
    <col min="2" max="2" width="14.75" style="4" bestFit="1" customWidth="1"/>
    <col min="3" max="3" width="11.6640625" style="4" bestFit="1" customWidth="1"/>
    <col min="4" max="5" width="11.75" style="4" bestFit="1" customWidth="1"/>
    <col min="6" max="6" width="8.08203125" style="4" bestFit="1" customWidth="1"/>
    <col min="7" max="7" width="10" style="4" bestFit="1" customWidth="1"/>
    <col min="8" max="8" width="10.4140625" style="4" bestFit="1" customWidth="1"/>
    <col min="9" max="10" width="9.33203125" style="4" customWidth="1"/>
    <col min="11" max="16384" width="9" style="4"/>
  </cols>
  <sheetData>
    <row r="1" spans="1:10" ht="30" customHeight="1">
      <c r="A1" s="4"/>
    </row>
    <row r="2" spans="1:10" ht="33.5">
      <c r="A2" s="4"/>
      <c r="B2" s="617" t="s">
        <v>273</v>
      </c>
      <c r="C2" s="617"/>
      <c r="D2" s="617"/>
      <c r="E2" s="617"/>
      <c r="F2" s="617"/>
      <c r="G2" s="617"/>
      <c r="H2" s="617"/>
      <c r="I2" s="617"/>
      <c r="J2" s="617"/>
    </row>
    <row r="3" spans="1:10" ht="33.5">
      <c r="B3" s="25"/>
      <c r="C3" s="58"/>
      <c r="D3" s="58"/>
      <c r="E3" s="58"/>
      <c r="F3" s="58"/>
      <c r="G3" s="58"/>
      <c r="H3" s="58"/>
      <c r="I3" s="58"/>
      <c r="J3" s="58"/>
    </row>
    <row r="4" spans="1:10" ht="26.25" customHeight="1">
      <c r="B4" s="29" t="s">
        <v>257</v>
      </c>
      <c r="C4" s="610"/>
      <c r="D4" s="610"/>
      <c r="E4" s="610"/>
      <c r="F4" s="615" t="s">
        <v>204</v>
      </c>
      <c r="G4" s="615"/>
      <c r="H4" s="610"/>
      <c r="I4" s="610"/>
      <c r="J4" s="610"/>
    </row>
    <row r="5" spans="1:10" ht="26.25" customHeight="1">
      <c r="B5" s="29" t="s">
        <v>83</v>
      </c>
      <c r="C5" s="610"/>
      <c r="D5" s="610"/>
      <c r="E5" s="610"/>
      <c r="F5" s="615" t="s">
        <v>76</v>
      </c>
      <c r="G5" s="615"/>
      <c r="H5" s="610"/>
      <c r="I5" s="610"/>
      <c r="J5" s="610"/>
    </row>
    <row r="6" spans="1:10" ht="26.5" customHeight="1">
      <c r="A6" s="37"/>
    </row>
    <row r="7" spans="1:10">
      <c r="A7" s="37"/>
      <c r="B7" s="1171" t="s">
        <v>274</v>
      </c>
      <c r="C7" s="1171"/>
      <c r="D7" s="1171"/>
      <c r="E7" s="1171"/>
      <c r="F7" s="1171"/>
      <c r="G7" s="1171"/>
      <c r="H7" s="1171"/>
      <c r="I7" s="1171"/>
      <c r="J7" s="1171"/>
    </row>
    <row r="8" spans="1:10" ht="26.25" customHeight="1">
      <c r="A8" s="37"/>
      <c r="B8" s="51" t="s">
        <v>275</v>
      </c>
      <c r="C8" s="1172" t="s">
        <v>854</v>
      </c>
      <c r="D8" s="1173"/>
      <c r="E8" s="1173"/>
      <c r="F8" s="48" t="s">
        <v>183</v>
      </c>
      <c r="G8" s="1174" t="s">
        <v>854</v>
      </c>
      <c r="H8" s="934"/>
      <c r="I8" s="934"/>
      <c r="J8" s="934"/>
    </row>
    <row r="9" spans="1:10">
      <c r="A9" s="37"/>
      <c r="B9" s="615" t="s">
        <v>276</v>
      </c>
      <c r="C9" s="615" t="s">
        <v>277</v>
      </c>
      <c r="D9" s="615" t="s">
        <v>278</v>
      </c>
      <c r="E9" s="615"/>
      <c r="F9" s="615"/>
      <c r="G9" s="615"/>
      <c r="H9" s="615"/>
      <c r="I9" s="615"/>
      <c r="J9" s="605" t="s">
        <v>251</v>
      </c>
    </row>
    <row r="10" spans="1:10">
      <c r="B10" s="615"/>
      <c r="C10" s="615"/>
      <c r="D10" s="1175" t="s">
        <v>279</v>
      </c>
      <c r="E10" s="1175"/>
      <c r="F10" s="1176" t="s">
        <v>280</v>
      </c>
      <c r="G10" s="1176"/>
      <c r="H10" s="1176" t="s">
        <v>281</v>
      </c>
      <c r="I10" s="1176"/>
      <c r="J10" s="605"/>
    </row>
    <row r="11" spans="1:10">
      <c r="B11" s="378" t="s">
        <v>1094</v>
      </c>
      <c r="C11" s="172">
        <f>SUM(D11:I11)</f>
        <v>60</v>
      </c>
      <c r="D11" s="1169">
        <v>10</v>
      </c>
      <c r="E11" s="1169"/>
      <c r="F11" s="1169">
        <v>20</v>
      </c>
      <c r="G11" s="1169"/>
      <c r="H11" s="1169">
        <v>30</v>
      </c>
      <c r="I11" s="1169"/>
      <c r="J11" s="52"/>
    </row>
    <row r="12" spans="1:10">
      <c r="B12" s="378" t="s">
        <v>1095</v>
      </c>
      <c r="C12" s="172">
        <f t="shared" ref="C12:C15" si="0">SUM(D12:I12)</f>
        <v>40</v>
      </c>
      <c r="D12" s="1169">
        <v>20</v>
      </c>
      <c r="E12" s="1169"/>
      <c r="F12" s="1169">
        <v>20</v>
      </c>
      <c r="G12" s="1169"/>
      <c r="H12" s="1169">
        <v>0</v>
      </c>
      <c r="I12" s="1169"/>
      <c r="J12" s="52"/>
    </row>
    <row r="13" spans="1:10">
      <c r="A13" s="37"/>
      <c r="B13" s="378" t="s">
        <v>1096</v>
      </c>
      <c r="C13" s="172">
        <v>0</v>
      </c>
      <c r="D13" s="1169"/>
      <c r="E13" s="1169"/>
      <c r="F13" s="1169"/>
      <c r="G13" s="1169"/>
      <c r="H13" s="1169"/>
      <c r="I13" s="1169"/>
      <c r="J13" s="52"/>
    </row>
    <row r="14" spans="1:10">
      <c r="A14" s="37"/>
      <c r="B14" s="378" t="s">
        <v>1097</v>
      </c>
      <c r="C14" s="172">
        <f t="shared" si="0"/>
        <v>0</v>
      </c>
      <c r="D14" s="1169"/>
      <c r="E14" s="1169"/>
      <c r="F14" s="1169"/>
      <c r="G14" s="1169"/>
      <c r="H14" s="1169"/>
      <c r="I14" s="1169"/>
      <c r="J14" s="52"/>
    </row>
    <row r="15" spans="1:10">
      <c r="A15" s="37"/>
      <c r="B15" s="378" t="s">
        <v>1098</v>
      </c>
      <c r="C15" s="172">
        <f t="shared" si="0"/>
        <v>0</v>
      </c>
      <c r="D15" s="1169"/>
      <c r="E15" s="1169"/>
      <c r="F15" s="1169"/>
      <c r="G15" s="1169"/>
      <c r="H15" s="1169"/>
      <c r="I15" s="1169"/>
      <c r="J15" s="52"/>
    </row>
    <row r="16" spans="1:10">
      <c r="A16" s="37"/>
      <c r="B16" s="29" t="s">
        <v>282</v>
      </c>
      <c r="C16" s="59">
        <f>SUM(C11:C15)</f>
        <v>100</v>
      </c>
      <c r="D16" s="1170">
        <f>SUM(D11:D15)</f>
        <v>30</v>
      </c>
      <c r="E16" s="1170"/>
      <c r="F16" s="1170">
        <f>SUM(F11:F15)</f>
        <v>40</v>
      </c>
      <c r="G16" s="1170"/>
      <c r="H16" s="1170">
        <f>SUM(H11:H15)</f>
        <v>30</v>
      </c>
      <c r="I16" s="1170"/>
      <c r="J16" s="52"/>
    </row>
    <row r="17" spans="1:10" ht="22.75" customHeight="1">
      <c r="A17" s="37"/>
      <c r="B17" s="24"/>
      <c r="C17" s="24"/>
      <c r="D17" s="24"/>
      <c r="E17" s="24"/>
      <c r="F17" s="24"/>
      <c r="G17" s="24"/>
      <c r="H17" s="24"/>
      <c r="I17" s="24"/>
      <c r="J17" s="24"/>
    </row>
    <row r="18" spans="1:10">
      <c r="A18" s="37"/>
      <c r="B18" s="1163" t="s">
        <v>283</v>
      </c>
      <c r="C18" s="1163"/>
      <c r="D18" s="1163"/>
      <c r="E18" s="1163"/>
      <c r="F18" s="1163"/>
      <c r="G18" s="1163"/>
      <c r="H18" s="1163"/>
      <c r="I18" s="1163"/>
      <c r="J18" s="1163"/>
    </row>
    <row r="19" spans="1:10">
      <c r="B19" s="51" t="s">
        <v>284</v>
      </c>
      <c r="C19" s="29" t="s">
        <v>285</v>
      </c>
      <c r="D19" s="29" t="s">
        <v>286</v>
      </c>
      <c r="E19" s="29" t="s">
        <v>287</v>
      </c>
      <c r="F19" s="29" t="s">
        <v>59</v>
      </c>
      <c r="G19" s="29" t="s">
        <v>277</v>
      </c>
      <c r="H19" s="29" t="s">
        <v>288</v>
      </c>
      <c r="I19" s="763" t="s">
        <v>289</v>
      </c>
      <c r="J19" s="765"/>
    </row>
    <row r="20" spans="1:10">
      <c r="A20" s="37"/>
      <c r="B20" s="1164" t="s">
        <v>31</v>
      </c>
      <c r="C20" s="1165">
        <v>10000000</v>
      </c>
      <c r="D20" s="1166">
        <v>3000000</v>
      </c>
      <c r="E20" s="1165">
        <f>C20-D20</f>
        <v>7000000</v>
      </c>
      <c r="F20" s="390" t="str">
        <f t="shared" ref="F20:G24" si="1">B11</f>
        <v>연구자1</v>
      </c>
      <c r="G20" s="173">
        <f t="shared" si="1"/>
        <v>60</v>
      </c>
      <c r="H20" s="174">
        <f>$E$20*G20*0.01</f>
        <v>4200000</v>
      </c>
      <c r="I20" s="1154" t="s">
        <v>290</v>
      </c>
      <c r="J20" s="1155"/>
    </row>
    <row r="21" spans="1:10" s="60" customFormat="1">
      <c r="A21" s="37"/>
      <c r="B21" s="1164"/>
      <c r="C21" s="1165"/>
      <c r="D21" s="1167"/>
      <c r="E21" s="1165"/>
      <c r="F21" s="390" t="str">
        <f t="shared" si="1"/>
        <v>연구자2</v>
      </c>
      <c r="G21" s="173">
        <f>C12</f>
        <v>40</v>
      </c>
      <c r="H21" s="174">
        <f>$E$20*G21*0.01</f>
        <v>2800000</v>
      </c>
      <c r="I21" s="1154" t="s">
        <v>290</v>
      </c>
      <c r="J21" s="1155"/>
    </row>
    <row r="22" spans="1:10" s="60" customFormat="1">
      <c r="A22" s="37"/>
      <c r="B22" s="1164"/>
      <c r="C22" s="1165"/>
      <c r="D22" s="1167"/>
      <c r="E22" s="1165"/>
      <c r="F22" s="390" t="str">
        <f t="shared" si="1"/>
        <v>연구자3</v>
      </c>
      <c r="G22" s="173">
        <f>C13</f>
        <v>0</v>
      </c>
      <c r="H22" s="174">
        <f>$E$20*G22*0.01</f>
        <v>0</v>
      </c>
      <c r="I22" s="1154" t="s">
        <v>290</v>
      </c>
      <c r="J22" s="1155"/>
    </row>
    <row r="23" spans="1:10" s="60" customFormat="1">
      <c r="A23" s="35"/>
      <c r="B23" s="1164"/>
      <c r="C23" s="1165"/>
      <c r="D23" s="1167"/>
      <c r="E23" s="1165"/>
      <c r="F23" s="390" t="str">
        <f t="shared" si="1"/>
        <v>연구자4</v>
      </c>
      <c r="G23" s="173">
        <f t="shared" si="1"/>
        <v>0</v>
      </c>
      <c r="H23" s="174">
        <f>$E$20*G23*0.01</f>
        <v>0</v>
      </c>
      <c r="I23" s="1154" t="s">
        <v>290</v>
      </c>
      <c r="J23" s="1155"/>
    </row>
    <row r="24" spans="1:10" s="60" customFormat="1">
      <c r="A24" s="37"/>
      <c r="B24" s="1164"/>
      <c r="C24" s="1165"/>
      <c r="D24" s="1168"/>
      <c r="E24" s="1165"/>
      <c r="F24" s="390" t="str">
        <f t="shared" si="1"/>
        <v>연구자5</v>
      </c>
      <c r="G24" s="173">
        <f t="shared" si="1"/>
        <v>0</v>
      </c>
      <c r="H24" s="174">
        <f>$E$20*G24*0.01</f>
        <v>0</v>
      </c>
      <c r="I24" s="1154" t="s">
        <v>290</v>
      </c>
      <c r="J24" s="1155"/>
    </row>
    <row r="25" spans="1:10" s="60" customFormat="1">
      <c r="A25" s="37"/>
      <c r="B25" s="1156" t="s">
        <v>282</v>
      </c>
      <c r="C25" s="1156"/>
      <c r="D25" s="1156"/>
      <c r="E25" s="1156"/>
      <c r="F25" s="1156"/>
      <c r="G25" s="61">
        <f>SUM(G20:G24)</f>
        <v>100</v>
      </c>
      <c r="H25" s="62">
        <f>SUM(H20:H24)</f>
        <v>7000000</v>
      </c>
      <c r="I25" s="1157"/>
      <c r="J25" s="1158"/>
    </row>
    <row r="26" spans="1:10" s="60" customFormat="1">
      <c r="A26" s="37"/>
      <c r="B26" s="4"/>
      <c r="C26" s="4"/>
      <c r="D26" s="4"/>
      <c r="E26" s="4"/>
      <c r="F26" s="4"/>
      <c r="G26" s="4"/>
      <c r="H26" s="4"/>
      <c r="I26" s="4"/>
      <c r="J26" s="4"/>
    </row>
    <row r="27" spans="1:10">
      <c r="A27" s="37"/>
      <c r="B27" s="24"/>
      <c r="C27" s="24"/>
      <c r="D27" s="24"/>
      <c r="E27" s="24"/>
      <c r="F27" s="24"/>
      <c r="G27" s="24"/>
      <c r="H27" s="24"/>
      <c r="I27" s="24"/>
      <c r="J27" s="24"/>
    </row>
    <row r="28" spans="1:10" ht="17.5">
      <c r="A28" s="37"/>
      <c r="B28" s="1159" t="s">
        <v>1154</v>
      </c>
      <c r="C28" s="1159"/>
      <c r="D28" s="1159"/>
      <c r="E28" s="1159"/>
      <c r="F28" s="1159"/>
      <c r="G28" s="1159"/>
      <c r="H28" s="1159"/>
      <c r="I28" s="1159"/>
      <c r="J28" s="1159"/>
    </row>
    <row r="29" spans="1:10" ht="17.5">
      <c r="A29" s="37"/>
      <c r="B29" s="63"/>
      <c r="C29" s="63"/>
      <c r="D29" s="63"/>
      <c r="E29" s="63"/>
      <c r="F29" s="63"/>
      <c r="G29" s="63"/>
      <c r="H29" s="63"/>
      <c r="I29" s="63"/>
      <c r="J29" s="63"/>
    </row>
    <row r="30" spans="1:10">
      <c r="A30" s="37"/>
      <c r="B30" s="1160">
        <f ca="1">TODAY()</f>
        <v>46132</v>
      </c>
      <c r="C30" s="1160"/>
      <c r="D30" s="1160"/>
      <c r="E30" s="1160"/>
      <c r="F30" s="1160"/>
      <c r="G30" s="1160"/>
      <c r="H30" s="1160"/>
      <c r="I30" s="1160"/>
      <c r="J30" s="1160"/>
    </row>
    <row r="31" spans="1:10">
      <c r="A31" s="37"/>
      <c r="B31" s="49"/>
      <c r="C31" s="49"/>
      <c r="D31" s="49"/>
      <c r="E31" s="49"/>
      <c r="F31" s="49"/>
      <c r="G31" s="49"/>
      <c r="H31" s="49"/>
      <c r="I31" s="49"/>
      <c r="J31" s="49"/>
    </row>
    <row r="32" spans="1:10" ht="17.25" customHeight="1">
      <c r="A32" s="46"/>
      <c r="F32" s="1161" t="s">
        <v>78</v>
      </c>
      <c r="G32" s="1161"/>
      <c r="H32" s="1162" t="s">
        <v>877</v>
      </c>
      <c r="I32" s="1162"/>
      <c r="J32" s="1162"/>
    </row>
    <row r="33" spans="1:10" ht="17.5">
      <c r="H33" s="63"/>
      <c r="I33" s="63"/>
      <c r="J33" s="63"/>
    </row>
    <row r="34" spans="1:10">
      <c r="A34" s="46"/>
      <c r="B34" s="590" t="s">
        <v>1420</v>
      </c>
      <c r="C34" s="590"/>
      <c r="D34" s="590"/>
      <c r="E34" s="590"/>
      <c r="F34" s="590"/>
      <c r="G34" s="590"/>
      <c r="H34" s="590"/>
      <c r="I34" s="590"/>
      <c r="J34" s="590"/>
    </row>
    <row r="38" spans="1:10">
      <c r="A38" s="46"/>
    </row>
  </sheetData>
  <mergeCells count="53">
    <mergeCell ref="B2:J2"/>
    <mergeCell ref="C4:E4"/>
    <mergeCell ref="F4:G4"/>
    <mergeCell ref="H4:J4"/>
    <mergeCell ref="C5:E5"/>
    <mergeCell ref="F5:G5"/>
    <mergeCell ref="H5:J5"/>
    <mergeCell ref="B7:J7"/>
    <mergeCell ref="C8:E8"/>
    <mergeCell ref="G8:J8"/>
    <mergeCell ref="B9:B10"/>
    <mergeCell ref="C9:C10"/>
    <mergeCell ref="D9:I9"/>
    <mergeCell ref="J9:J10"/>
    <mergeCell ref="D10:E10"/>
    <mergeCell ref="F10:G10"/>
    <mergeCell ref="H10:I10"/>
    <mergeCell ref="D11:E11"/>
    <mergeCell ref="F11:G11"/>
    <mergeCell ref="H11:I11"/>
    <mergeCell ref="D12:E12"/>
    <mergeCell ref="F12:G12"/>
    <mergeCell ref="H12:I12"/>
    <mergeCell ref="D13:E13"/>
    <mergeCell ref="F13:G13"/>
    <mergeCell ref="H13:I13"/>
    <mergeCell ref="D14:E14"/>
    <mergeCell ref="F14:G14"/>
    <mergeCell ref="H14:I14"/>
    <mergeCell ref="D15:E15"/>
    <mergeCell ref="F15:G15"/>
    <mergeCell ref="H15:I15"/>
    <mergeCell ref="D16:E16"/>
    <mergeCell ref="F16:G16"/>
    <mergeCell ref="H16:I16"/>
    <mergeCell ref="B18:J18"/>
    <mergeCell ref="I19:J19"/>
    <mergeCell ref="B20:B24"/>
    <mergeCell ref="C20:C24"/>
    <mergeCell ref="D20:D24"/>
    <mergeCell ref="E20:E24"/>
    <mergeCell ref="I20:J20"/>
    <mergeCell ref="I21:J21"/>
    <mergeCell ref="I22:J22"/>
    <mergeCell ref="I23:J23"/>
    <mergeCell ref="B34:J34"/>
    <mergeCell ref="I24:J24"/>
    <mergeCell ref="B25:F25"/>
    <mergeCell ref="I25:J25"/>
    <mergeCell ref="B28:J28"/>
    <mergeCell ref="B30:J30"/>
    <mergeCell ref="F32:G32"/>
    <mergeCell ref="H32:J32"/>
  </mergeCells>
  <phoneticPr fontId="4" type="noConversion"/>
  <dataValidations count="3">
    <dataValidation type="whole" errorStyle="warning" operator="lessThan" allowBlank="1" showInputMessage="1" showErrorMessage="1" errorTitle="연구수당 지급률 관련" error="개인당 연구수당의 최대 지급률은 해당 연구과제 연구수당 총 지급액의 70%를 초과하면 안됩니다." sqref="C11:C15" xr:uid="{00000000-0002-0000-0A00-000000000000}">
      <formula1>71</formula1>
    </dataValidation>
    <dataValidation type="custom" allowBlank="1" showInputMessage="1" showErrorMessage="1" errorTitle="연구수당70%관련" error="연구수당 개인별 최대 지급비율을 70%입니다. 취소를 클릭해주세요._x000a_" sqref="H20" xr:uid="{00000000-0002-0000-0A00-000001000000}">
      <formula1>H20&gt;C20*70%</formula1>
    </dataValidation>
    <dataValidation allowBlank="1" showInputMessage="1" showErrorMessage="1" prompt="yymmdd_x000a_(년-월-일)" sqref="G8:J8 C8:E8" xr:uid="{00000000-0002-0000-0A00-000002000000}"/>
  </dataValidations>
  <pageMargins left="0.25" right="0.25" top="0.75" bottom="0.75" header="0.3" footer="0.3"/>
  <pageSetup paperSize="9" scale="93"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기여도평가서">
                <anchor moveWithCells="1" sizeWithCells="1">
                  <from>
                    <xdr:col>3</xdr:col>
                    <xdr:colOff>19050</xdr:colOff>
                    <xdr:row>35</xdr:row>
                    <xdr:rowOff>146050</xdr:rowOff>
                  </from>
                  <to>
                    <xdr:col>6</xdr:col>
                    <xdr:colOff>431800</xdr:colOff>
                    <xdr:row>37</xdr:row>
                    <xdr:rowOff>88900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4" tint="-0.499984740745262"/>
    <pageSetUpPr fitToPage="1"/>
  </sheetPr>
  <dimension ref="A1:I45"/>
  <sheetViews>
    <sheetView showGridLines="0" zoomScale="90" zoomScaleNormal="90" workbookViewId="0">
      <selection activeCell="K10" sqref="K10"/>
    </sheetView>
  </sheetViews>
  <sheetFormatPr defaultColWidth="9" defaultRowHeight="17"/>
  <cols>
    <col min="1" max="1" width="1.25" style="35" customWidth="1"/>
    <col min="2" max="9" width="13.4140625" style="4" customWidth="1"/>
    <col min="10" max="16384" width="9" style="4"/>
  </cols>
  <sheetData>
    <row r="1" spans="1:9">
      <c r="A1" s="4"/>
    </row>
    <row r="2" spans="1:9">
      <c r="A2" s="4"/>
    </row>
    <row r="3" spans="1:9">
      <c r="B3" s="24"/>
      <c r="C3" s="24"/>
      <c r="D3" s="24"/>
      <c r="E3" s="24"/>
      <c r="F3" s="24"/>
      <c r="G3" s="24"/>
      <c r="H3" s="24"/>
      <c r="I3" s="24"/>
    </row>
    <row r="4" spans="1:9" ht="33.5">
      <c r="B4" s="618" t="s">
        <v>1209</v>
      </c>
      <c r="C4" s="618"/>
      <c r="D4" s="618"/>
      <c r="E4" s="618"/>
      <c r="F4" s="618"/>
      <c r="G4" s="618"/>
      <c r="H4" s="618"/>
      <c r="I4" s="618"/>
    </row>
    <row r="5" spans="1:9">
      <c r="B5" s="55"/>
      <c r="C5" s="55"/>
      <c r="D5" s="55"/>
      <c r="E5" s="55"/>
      <c r="F5" s="55"/>
      <c r="G5" s="55"/>
      <c r="H5" s="55"/>
      <c r="I5" s="55"/>
    </row>
    <row r="6" spans="1:9" ht="26.5" customHeight="1">
      <c r="A6" s="37"/>
      <c r="B6" s="29" t="s">
        <v>1232</v>
      </c>
      <c r="C6" s="610"/>
      <c r="D6" s="610"/>
      <c r="E6" s="610"/>
      <c r="F6" s="615" t="s">
        <v>204</v>
      </c>
      <c r="G6" s="615"/>
      <c r="H6" s="610"/>
      <c r="I6" s="610"/>
    </row>
    <row r="7" spans="1:9" ht="26.5" customHeight="1">
      <c r="A7" s="37"/>
      <c r="B7" s="29" t="s">
        <v>207</v>
      </c>
      <c r="C7" s="610"/>
      <c r="D7" s="610"/>
      <c r="E7" s="610"/>
      <c r="F7" s="615" t="s">
        <v>1207</v>
      </c>
      <c r="G7" s="615"/>
      <c r="H7" s="610" t="s">
        <v>1216</v>
      </c>
      <c r="I7" s="610"/>
    </row>
    <row r="8" spans="1:9" ht="26.5" customHeight="1">
      <c r="A8" s="37"/>
      <c r="B8" s="29" t="s">
        <v>171</v>
      </c>
      <c r="C8" s="837" t="s">
        <v>1214</v>
      </c>
      <c r="D8" s="838"/>
      <c r="E8" s="839"/>
      <c r="F8" s="615" t="s">
        <v>1199</v>
      </c>
      <c r="G8" s="615"/>
      <c r="H8" s="837"/>
      <c r="I8" s="839"/>
    </row>
    <row r="9" spans="1:9" ht="20.25" customHeight="1">
      <c r="A9" s="37"/>
      <c r="B9" s="49"/>
      <c r="C9" s="49"/>
      <c r="D9" s="49"/>
      <c r="E9" s="49"/>
      <c r="F9" s="49"/>
      <c r="G9" s="49"/>
      <c r="H9" s="49"/>
      <c r="I9" s="49"/>
    </row>
    <row r="10" spans="1:9" ht="33" customHeight="1">
      <c r="A10" s="37"/>
      <c r="B10" s="1182" t="s">
        <v>1208</v>
      </c>
      <c r="C10" s="1182"/>
      <c r="D10" s="1182"/>
      <c r="E10" s="1182"/>
      <c r="F10" s="1182"/>
      <c r="G10" s="1182"/>
      <c r="H10" s="1182"/>
      <c r="I10" s="1182"/>
    </row>
    <row r="11" spans="1:9" ht="30" customHeight="1">
      <c r="A11" s="37"/>
      <c r="B11" s="398" t="s">
        <v>1203</v>
      </c>
      <c r="C11" s="398" t="s">
        <v>174</v>
      </c>
      <c r="D11" s="398" t="s">
        <v>59</v>
      </c>
      <c r="E11" s="398" t="s">
        <v>1218</v>
      </c>
      <c r="F11" s="398" t="s">
        <v>1200</v>
      </c>
      <c r="G11" s="398" t="s">
        <v>1202</v>
      </c>
      <c r="H11" s="398" t="s">
        <v>1201</v>
      </c>
      <c r="I11" s="398" t="s">
        <v>1215</v>
      </c>
    </row>
    <row r="12" spans="1:9" ht="30" customHeight="1">
      <c r="B12" s="398" t="s">
        <v>1204</v>
      </c>
      <c r="C12" s="399"/>
      <c r="D12" s="399"/>
      <c r="E12" s="399"/>
      <c r="F12" s="399"/>
      <c r="G12" s="400"/>
      <c r="H12" s="400"/>
      <c r="I12" s="401"/>
    </row>
    <row r="13" spans="1:9" ht="30" customHeight="1">
      <c r="B13" s="398" t="s">
        <v>1205</v>
      </c>
      <c r="C13" s="400"/>
      <c r="D13" s="400"/>
      <c r="E13" s="400"/>
      <c r="F13" s="400"/>
      <c r="G13" s="400"/>
      <c r="H13" s="400"/>
      <c r="I13" s="402"/>
    </row>
    <row r="14" spans="1:9" ht="30" customHeight="1">
      <c r="B14" s="398" t="s">
        <v>1206</v>
      </c>
      <c r="C14" s="400"/>
      <c r="D14" s="400"/>
      <c r="E14" s="400"/>
      <c r="F14" s="400"/>
      <c r="G14" s="400"/>
      <c r="H14" s="400"/>
      <c r="I14" s="400"/>
    </row>
    <row r="15" spans="1:9" ht="30" customHeight="1">
      <c r="A15" s="37"/>
      <c r="B15" s="398" t="s">
        <v>852</v>
      </c>
      <c r="C15" s="400"/>
      <c r="D15" s="400"/>
      <c r="E15" s="400"/>
      <c r="F15" s="400"/>
      <c r="G15" s="400"/>
      <c r="H15" s="400"/>
      <c r="I15" s="400"/>
    </row>
    <row r="16" spans="1:9" ht="30" customHeight="1">
      <c r="A16" s="37"/>
      <c r="B16" s="398" t="s">
        <v>852</v>
      </c>
      <c r="C16" s="403"/>
      <c r="D16" s="403"/>
      <c r="E16" s="403"/>
      <c r="F16" s="403"/>
      <c r="G16" s="403"/>
      <c r="H16" s="403"/>
      <c r="I16" s="403"/>
    </row>
    <row r="17" spans="1:9" ht="30" customHeight="1">
      <c r="A17" s="37"/>
      <c r="B17" s="1179" t="s">
        <v>387</v>
      </c>
      <c r="C17" s="1180"/>
      <c r="D17" s="1180"/>
      <c r="E17" s="1180"/>
      <c r="F17" s="1181"/>
      <c r="G17" s="400"/>
      <c r="H17" s="400"/>
      <c r="I17" s="404"/>
    </row>
    <row r="18" spans="1:9" ht="8.25" customHeight="1">
      <c r="B18" s="1178"/>
      <c r="C18" s="1178"/>
      <c r="D18" s="1178"/>
      <c r="E18" s="1178"/>
      <c r="F18" s="1178"/>
      <c r="G18" s="1178"/>
      <c r="H18" s="1178"/>
      <c r="I18" s="1178"/>
    </row>
    <row r="19" spans="1:9" ht="29.25" customHeight="1">
      <c r="A19" s="37"/>
      <c r="B19" s="1183" t="s">
        <v>1234</v>
      </c>
      <c r="C19" s="1184"/>
      <c r="D19" s="1184"/>
      <c r="E19" s="1184"/>
      <c r="F19" s="1184"/>
      <c r="G19" s="1184"/>
      <c r="H19" s="1184"/>
      <c r="I19" s="1184"/>
    </row>
    <row r="20" spans="1:9">
      <c r="B20" s="1178"/>
      <c r="C20" s="1178"/>
      <c r="D20" s="1178"/>
      <c r="E20" s="1178"/>
      <c r="F20" s="1178"/>
      <c r="G20" s="1178"/>
      <c r="H20" s="1178"/>
      <c r="I20" s="1178"/>
    </row>
    <row r="21" spans="1:9" ht="17.25" customHeight="1">
      <c r="A21" s="1159" t="s">
        <v>1217</v>
      </c>
      <c r="B21" s="1159"/>
      <c r="C21" s="1159"/>
      <c r="D21" s="1159"/>
      <c r="E21" s="1159"/>
      <c r="F21" s="1159"/>
      <c r="G21" s="1159"/>
      <c r="H21" s="1159"/>
      <c r="I21" s="1159"/>
    </row>
    <row r="22" spans="1:9" ht="17.5">
      <c r="A22" s="63"/>
      <c r="B22" s="63"/>
      <c r="C22" s="63"/>
      <c r="D22" s="63"/>
      <c r="E22" s="63"/>
      <c r="F22" s="63"/>
      <c r="G22" s="63"/>
      <c r="H22" s="63"/>
      <c r="I22" s="63"/>
    </row>
    <row r="23" spans="1:9">
      <c r="A23" s="1160">
        <f ca="1">TODAY()</f>
        <v>46132</v>
      </c>
      <c r="B23" s="1160"/>
      <c r="C23" s="1160"/>
      <c r="D23" s="1160"/>
      <c r="E23" s="1160"/>
      <c r="F23" s="1160"/>
      <c r="G23" s="1160"/>
      <c r="H23" s="1160"/>
      <c r="I23" s="1160"/>
    </row>
    <row r="24" spans="1:9">
      <c r="A24" s="405"/>
      <c r="B24" s="405"/>
      <c r="C24" s="405"/>
      <c r="D24" s="405"/>
      <c r="E24" s="405"/>
      <c r="F24" s="405"/>
      <c r="G24" s="405"/>
      <c r="H24" s="405"/>
      <c r="I24" s="405"/>
    </row>
    <row r="25" spans="1:9" ht="17.5">
      <c r="A25" s="405"/>
      <c r="B25" s="405"/>
      <c r="C25" s="405"/>
      <c r="D25" s="405"/>
      <c r="E25" s="1161" t="s">
        <v>78</v>
      </c>
      <c r="F25" s="1161"/>
      <c r="G25" s="1162" t="s">
        <v>145</v>
      </c>
      <c r="H25" s="1162"/>
      <c r="I25" s="1162"/>
    </row>
    <row r="26" spans="1:9">
      <c r="A26" s="405"/>
      <c r="B26" s="405"/>
      <c r="C26" s="405"/>
      <c r="D26" s="405"/>
      <c r="E26" s="405"/>
      <c r="F26" s="405"/>
      <c r="G26" s="405"/>
      <c r="H26" s="405"/>
      <c r="I26" s="405"/>
    </row>
    <row r="27" spans="1:9">
      <c r="A27" s="49"/>
      <c r="B27" s="49"/>
      <c r="C27" s="49"/>
      <c r="D27" s="49"/>
      <c r="E27" s="49"/>
      <c r="F27" s="49"/>
      <c r="G27" s="49"/>
      <c r="H27" s="49"/>
      <c r="I27" s="49"/>
    </row>
    <row r="28" spans="1:9">
      <c r="A28" s="590" t="s">
        <v>1420</v>
      </c>
      <c r="B28" s="590"/>
      <c r="C28" s="590"/>
      <c r="D28" s="590"/>
      <c r="E28" s="590"/>
      <c r="F28" s="590"/>
      <c r="G28" s="590"/>
      <c r="H28" s="590"/>
      <c r="I28" s="590"/>
    </row>
    <row r="29" spans="1:9" ht="17.5">
      <c r="A29" s="4"/>
      <c r="G29" s="63"/>
      <c r="H29" s="63"/>
      <c r="I29" s="63"/>
    </row>
    <row r="30" spans="1:9" ht="17.25" customHeight="1">
      <c r="A30" s="1177"/>
      <c r="B30" s="1177"/>
      <c r="C30" s="1177"/>
      <c r="D30" s="1177"/>
      <c r="E30" s="1177"/>
      <c r="F30" s="1177"/>
      <c r="G30" s="1177"/>
      <c r="H30" s="1177"/>
      <c r="I30" s="1177"/>
    </row>
    <row r="31" spans="1:9">
      <c r="A31" s="37"/>
    </row>
    <row r="32" spans="1:9">
      <c r="A32" s="37"/>
    </row>
    <row r="33" spans="1:1">
      <c r="A33" s="37"/>
    </row>
    <row r="34" spans="1:1">
      <c r="A34" s="37"/>
    </row>
    <row r="35" spans="1:1">
      <c r="A35" s="37"/>
    </row>
    <row r="36" spans="1:1">
      <c r="A36" s="37"/>
    </row>
    <row r="37" spans="1:1">
      <c r="A37" s="37"/>
    </row>
    <row r="38" spans="1:1">
      <c r="A38" s="37"/>
    </row>
    <row r="39" spans="1:1">
      <c r="A39" s="46"/>
    </row>
    <row r="41" spans="1:1">
      <c r="A41" s="46"/>
    </row>
    <row r="45" spans="1:1">
      <c r="A45" s="46"/>
    </row>
  </sheetData>
  <mergeCells count="21">
    <mergeCell ref="B20:I20"/>
    <mergeCell ref="B4:I4"/>
    <mergeCell ref="C6:E6"/>
    <mergeCell ref="F6:G6"/>
    <mergeCell ref="H6:I6"/>
    <mergeCell ref="C7:E7"/>
    <mergeCell ref="F7:G7"/>
    <mergeCell ref="H7:I7"/>
    <mergeCell ref="B17:F17"/>
    <mergeCell ref="F8:G8"/>
    <mergeCell ref="C8:E8"/>
    <mergeCell ref="H8:I8"/>
    <mergeCell ref="B10:I10"/>
    <mergeCell ref="B19:I19"/>
    <mergeCell ref="B18:I18"/>
    <mergeCell ref="A21:I21"/>
    <mergeCell ref="A23:I23"/>
    <mergeCell ref="A30:I30"/>
    <mergeCell ref="E25:F25"/>
    <mergeCell ref="G25:I25"/>
    <mergeCell ref="A28:I28"/>
  </mergeCells>
  <phoneticPr fontId="4" type="noConversion"/>
  <dataValidations count="2">
    <dataValidation allowBlank="1" showInputMessage="1" showErrorMessage="1" prompt="yymmdd_x000a_(년-월-일)" sqref="C12:D12" xr:uid="{00000000-0002-0000-0B00-000000000000}"/>
    <dataValidation allowBlank="1" showInputMessage="1" showErrorMessage="1" prompt="시:분_x000a_(24시간제)" sqref="E12:F12" xr:uid="{00000000-0002-0000-0B00-000001000000}"/>
  </dataValidations>
  <pageMargins left="0.25" right="0.25" top="0.75" bottom="0.75" header="0.3" footer="0.3"/>
  <pageSetup paperSize="9" scale="83"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보안수당지급">
                <anchor moveWithCells="1" sizeWithCells="1">
                  <from>
                    <xdr:col>3</xdr:col>
                    <xdr:colOff>57150</xdr:colOff>
                    <xdr:row>31</xdr:row>
                    <xdr:rowOff>114300</xdr:rowOff>
                  </from>
                  <to>
                    <xdr:col>6</xdr:col>
                    <xdr:colOff>527050</xdr:colOff>
                    <xdr:row>33</xdr:row>
                    <xdr:rowOff>57150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7030A0"/>
    <pageSetUpPr fitToPage="1"/>
  </sheetPr>
  <dimension ref="A1:X37"/>
  <sheetViews>
    <sheetView showGridLines="0" zoomScale="80" zoomScaleNormal="80" workbookViewId="0">
      <selection activeCell="N32" sqref="N32"/>
    </sheetView>
  </sheetViews>
  <sheetFormatPr defaultColWidth="9" defaultRowHeight="17"/>
  <cols>
    <col min="1" max="1" width="1.25" style="35" customWidth="1"/>
    <col min="2" max="12" width="9" style="4"/>
    <col min="13" max="13" width="1.25" style="4" customWidth="1"/>
    <col min="14" max="16384" width="9" style="4"/>
  </cols>
  <sheetData>
    <row r="1" spans="1:24" ht="26.5" customHeight="1">
      <c r="A1" s="4"/>
      <c r="B1" s="1190"/>
      <c r="C1" s="1190"/>
      <c r="D1" s="1190"/>
      <c r="E1" s="1190"/>
      <c r="F1" s="1190"/>
      <c r="G1" s="1190"/>
      <c r="H1" s="1190"/>
      <c r="I1" s="1190"/>
      <c r="J1" s="1190"/>
      <c r="K1" s="1190"/>
      <c r="L1" s="1190"/>
    </row>
    <row r="2" spans="1:24">
      <c r="A2" s="4"/>
      <c r="B2" s="24"/>
      <c r="C2" s="24"/>
      <c r="D2" s="24"/>
      <c r="E2" s="24"/>
      <c r="F2" s="24"/>
      <c r="G2" s="24"/>
      <c r="H2" s="24"/>
      <c r="I2" s="24"/>
      <c r="J2" s="24"/>
      <c r="K2" s="24"/>
      <c r="L2" s="24"/>
    </row>
    <row r="3" spans="1:24" ht="33.5">
      <c r="B3" s="618" t="s">
        <v>255</v>
      </c>
      <c r="C3" s="618"/>
      <c r="D3" s="618"/>
      <c r="E3" s="618"/>
      <c r="F3" s="618"/>
      <c r="G3" s="618"/>
      <c r="H3" s="618"/>
      <c r="I3" s="618"/>
      <c r="J3" s="618"/>
      <c r="K3" s="618"/>
      <c r="L3" s="618"/>
      <c r="N3" s="618" t="s">
        <v>256</v>
      </c>
      <c r="O3" s="618"/>
      <c r="P3" s="618"/>
      <c r="Q3" s="618"/>
      <c r="R3" s="618"/>
      <c r="S3" s="618"/>
      <c r="T3" s="618"/>
      <c r="U3" s="618"/>
      <c r="V3" s="618"/>
      <c r="W3" s="618"/>
      <c r="X3" s="618"/>
    </row>
    <row r="4" spans="1:24">
      <c r="B4" s="55"/>
      <c r="C4" s="55"/>
      <c r="D4" s="55"/>
      <c r="E4" s="55"/>
      <c r="F4" s="55"/>
      <c r="G4" s="55"/>
      <c r="H4" s="55"/>
      <c r="I4" s="55"/>
      <c r="J4" s="55"/>
      <c r="K4" s="55"/>
      <c r="L4" s="55"/>
      <c r="N4" s="55"/>
      <c r="O4" s="55"/>
      <c r="P4" s="55"/>
      <c r="Q4" s="55"/>
      <c r="R4" s="55"/>
      <c r="S4" s="55"/>
      <c r="T4" s="55"/>
      <c r="U4" s="55"/>
      <c r="V4" s="55"/>
      <c r="W4" s="55"/>
      <c r="X4" s="55"/>
    </row>
    <row r="5" spans="1:24" ht="26.5" customHeight="1">
      <c r="B5" s="615" t="s">
        <v>257</v>
      </c>
      <c r="C5" s="615"/>
      <c r="D5" s="610"/>
      <c r="E5" s="610"/>
      <c r="F5" s="610"/>
      <c r="G5" s="610"/>
      <c r="H5" s="615" t="s">
        <v>204</v>
      </c>
      <c r="I5" s="615"/>
      <c r="J5" s="610"/>
      <c r="K5" s="610"/>
      <c r="L5" s="610"/>
      <c r="N5" s="615" t="s">
        <v>257</v>
      </c>
      <c r="O5" s="615"/>
      <c r="P5" s="610"/>
      <c r="Q5" s="610"/>
      <c r="R5" s="610"/>
      <c r="S5" s="610"/>
      <c r="T5" s="615" t="s">
        <v>204</v>
      </c>
      <c r="U5" s="615"/>
      <c r="V5" s="610"/>
      <c r="W5" s="610"/>
      <c r="X5" s="610"/>
    </row>
    <row r="6" spans="1:24" ht="26.5" customHeight="1">
      <c r="A6" s="37"/>
      <c r="B6" s="615" t="s">
        <v>207</v>
      </c>
      <c r="C6" s="615"/>
      <c r="D6" s="837"/>
      <c r="E6" s="838"/>
      <c r="F6" s="838"/>
      <c r="G6" s="839"/>
      <c r="H6" s="763" t="s">
        <v>76</v>
      </c>
      <c r="I6" s="765"/>
      <c r="J6" s="837"/>
      <c r="K6" s="838"/>
      <c r="L6" s="839"/>
      <c r="N6" s="615" t="s">
        <v>207</v>
      </c>
      <c r="O6" s="615"/>
      <c r="P6" s="837"/>
      <c r="Q6" s="838"/>
      <c r="R6" s="838"/>
      <c r="S6" s="839"/>
      <c r="T6" s="763" t="s">
        <v>76</v>
      </c>
      <c r="U6" s="765"/>
      <c r="V6" s="837"/>
      <c r="W6" s="838"/>
      <c r="X6" s="839"/>
    </row>
    <row r="7" spans="1:24" ht="26.5" customHeight="1">
      <c r="A7" s="37"/>
      <c r="B7" s="49"/>
      <c r="C7" s="49"/>
      <c r="D7" s="49"/>
      <c r="E7" s="49"/>
      <c r="F7" s="49"/>
      <c r="G7" s="49"/>
      <c r="H7" s="49"/>
      <c r="I7" s="49"/>
      <c r="J7" s="49"/>
      <c r="K7" s="49"/>
      <c r="L7" s="49"/>
    </row>
    <row r="8" spans="1:24" ht="26.25" customHeight="1">
      <c r="A8" s="37"/>
      <c r="B8" s="615" t="s">
        <v>259</v>
      </c>
      <c r="C8" s="615"/>
      <c r="D8" s="961">
        <v>45024</v>
      </c>
      <c r="E8" s="961"/>
      <c r="F8" s="1188" t="s">
        <v>853</v>
      </c>
      <c r="G8" s="1188"/>
      <c r="H8" s="616" t="s">
        <v>1431</v>
      </c>
      <c r="I8" s="616"/>
      <c r="J8" s="1189"/>
      <c r="K8" s="1189"/>
      <c r="L8" s="1189"/>
      <c r="N8" s="51" t="s">
        <v>261</v>
      </c>
      <c r="O8" s="605" t="s">
        <v>190</v>
      </c>
      <c r="P8" s="605"/>
      <c r="Q8" s="605" t="s">
        <v>262</v>
      </c>
      <c r="R8" s="605"/>
      <c r="S8" s="605" t="s">
        <v>188</v>
      </c>
      <c r="T8" s="605"/>
      <c r="U8" s="605" t="s">
        <v>263</v>
      </c>
      <c r="V8" s="605"/>
      <c r="W8" s="605" t="s">
        <v>251</v>
      </c>
      <c r="X8" s="605"/>
    </row>
    <row r="9" spans="1:24" ht="26.5" customHeight="1">
      <c r="A9" s="37"/>
      <c r="B9" s="615" t="s">
        <v>265</v>
      </c>
      <c r="C9" s="615"/>
      <c r="D9" s="1146" t="s">
        <v>266</v>
      </c>
      <c r="E9" s="1146"/>
      <c r="F9" s="1146"/>
      <c r="G9" s="1146"/>
      <c r="H9" s="615" t="s">
        <v>267</v>
      </c>
      <c r="I9" s="615"/>
      <c r="J9" s="930"/>
      <c r="K9" s="930"/>
      <c r="L9" s="930"/>
      <c r="N9" s="56">
        <v>1</v>
      </c>
      <c r="O9" s="597"/>
      <c r="P9" s="597"/>
      <c r="Q9" s="597"/>
      <c r="R9" s="597"/>
      <c r="S9" s="597"/>
      <c r="T9" s="597"/>
      <c r="U9" s="597"/>
      <c r="V9" s="597"/>
      <c r="W9" s="597"/>
      <c r="X9" s="597"/>
    </row>
    <row r="10" spans="1:24" ht="26.5" customHeight="1">
      <c r="B10" s="615" t="s">
        <v>268</v>
      </c>
      <c r="C10" s="615"/>
      <c r="D10" s="1186" t="s">
        <v>1388</v>
      </c>
      <c r="E10" s="1187"/>
      <c r="F10" s="1187"/>
      <c r="G10" s="1187"/>
      <c r="H10" s="1187"/>
      <c r="I10" s="1187"/>
      <c r="J10" s="1187"/>
      <c r="K10" s="1187"/>
      <c r="L10" s="1187"/>
      <c r="N10" s="56">
        <v>2</v>
      </c>
      <c r="O10" s="597"/>
      <c r="P10" s="597"/>
      <c r="Q10" s="597"/>
      <c r="R10" s="597"/>
      <c r="S10" s="597"/>
      <c r="T10" s="597"/>
      <c r="U10" s="597"/>
      <c r="V10" s="597"/>
      <c r="W10" s="597"/>
      <c r="X10" s="597"/>
    </row>
    <row r="11" spans="1:24" ht="26.5" customHeight="1">
      <c r="B11" s="615"/>
      <c r="C11" s="615"/>
      <c r="D11" s="1187"/>
      <c r="E11" s="1187"/>
      <c r="F11" s="1187"/>
      <c r="G11" s="1187"/>
      <c r="H11" s="1187"/>
      <c r="I11" s="1187"/>
      <c r="J11" s="1187"/>
      <c r="K11" s="1187"/>
      <c r="L11" s="1187"/>
      <c r="N11" s="56">
        <v>3</v>
      </c>
      <c r="O11" s="597"/>
      <c r="P11" s="597"/>
      <c r="Q11" s="597"/>
      <c r="R11" s="597"/>
      <c r="S11" s="597"/>
      <c r="T11" s="597"/>
      <c r="U11" s="597"/>
      <c r="V11" s="597"/>
      <c r="W11" s="597"/>
      <c r="X11" s="597"/>
    </row>
    <row r="12" spans="1:24" ht="26.5" customHeight="1">
      <c r="B12" s="615"/>
      <c r="C12" s="615"/>
      <c r="D12" s="1187"/>
      <c r="E12" s="1187"/>
      <c r="F12" s="1187"/>
      <c r="G12" s="1187"/>
      <c r="H12" s="1187"/>
      <c r="I12" s="1187"/>
      <c r="J12" s="1187"/>
      <c r="K12" s="1187"/>
      <c r="L12" s="1187"/>
      <c r="N12" s="56">
        <v>4</v>
      </c>
      <c r="O12" s="597"/>
      <c r="P12" s="597"/>
      <c r="Q12" s="597"/>
      <c r="R12" s="597"/>
      <c r="S12" s="597"/>
      <c r="T12" s="597"/>
      <c r="U12" s="597"/>
      <c r="V12" s="597"/>
      <c r="W12" s="597"/>
      <c r="X12" s="597"/>
    </row>
    <row r="13" spans="1:24" ht="26.5" customHeight="1">
      <c r="A13" s="37"/>
      <c r="B13" s="615"/>
      <c r="C13" s="615"/>
      <c r="D13" s="1187"/>
      <c r="E13" s="1187"/>
      <c r="F13" s="1187"/>
      <c r="G13" s="1187"/>
      <c r="H13" s="1187"/>
      <c r="I13" s="1187"/>
      <c r="J13" s="1187"/>
      <c r="K13" s="1187"/>
      <c r="L13" s="1187"/>
      <c r="N13" s="56">
        <v>5</v>
      </c>
      <c r="O13" s="597"/>
      <c r="P13" s="597"/>
      <c r="Q13" s="597"/>
      <c r="R13" s="597"/>
      <c r="S13" s="597"/>
      <c r="T13" s="597"/>
      <c r="U13" s="597"/>
      <c r="V13" s="597"/>
      <c r="W13" s="597"/>
      <c r="X13" s="597"/>
    </row>
    <row r="14" spans="1:24" ht="26.5" customHeight="1">
      <c r="A14" s="37"/>
      <c r="B14" s="615"/>
      <c r="C14" s="615"/>
      <c r="D14" s="1187"/>
      <c r="E14" s="1187"/>
      <c r="F14" s="1187"/>
      <c r="G14" s="1187"/>
      <c r="H14" s="1187"/>
      <c r="I14" s="1187"/>
      <c r="J14" s="1187"/>
      <c r="K14" s="1187"/>
      <c r="L14" s="1187"/>
      <c r="N14" s="56">
        <v>6</v>
      </c>
      <c r="O14" s="597"/>
      <c r="P14" s="597"/>
      <c r="Q14" s="597"/>
      <c r="R14" s="597"/>
      <c r="S14" s="597"/>
      <c r="T14" s="597"/>
      <c r="U14" s="597"/>
      <c r="V14" s="597"/>
      <c r="W14" s="597"/>
      <c r="X14" s="597"/>
    </row>
    <row r="15" spans="1:24" ht="26.5" customHeight="1">
      <c r="A15" s="37"/>
      <c r="B15" s="615"/>
      <c r="C15" s="615"/>
      <c r="D15" s="1187"/>
      <c r="E15" s="1187"/>
      <c r="F15" s="1187"/>
      <c r="G15" s="1187"/>
      <c r="H15" s="1187"/>
      <c r="I15" s="1187"/>
      <c r="J15" s="1187"/>
      <c r="K15" s="1187"/>
      <c r="L15" s="1187"/>
      <c r="N15" s="56">
        <v>7</v>
      </c>
      <c r="O15" s="597"/>
      <c r="P15" s="597"/>
      <c r="Q15" s="597"/>
      <c r="R15" s="597"/>
      <c r="S15" s="597"/>
      <c r="T15" s="597"/>
      <c r="U15" s="597"/>
      <c r="V15" s="597"/>
      <c r="W15" s="597"/>
      <c r="X15" s="597"/>
    </row>
    <row r="16" spans="1:24" ht="26.5" customHeight="1">
      <c r="A16" s="37"/>
      <c r="B16" s="7"/>
      <c r="C16" s="7"/>
      <c r="D16" s="7"/>
      <c r="E16" s="7"/>
      <c r="F16" s="7"/>
      <c r="G16" s="7"/>
      <c r="H16" s="7"/>
      <c r="I16" s="7"/>
      <c r="J16" s="7"/>
      <c r="K16" s="7"/>
      <c r="L16" s="7"/>
      <c r="N16" s="56">
        <v>8</v>
      </c>
      <c r="O16" s="597"/>
      <c r="P16" s="597"/>
      <c r="Q16" s="597"/>
      <c r="R16" s="597"/>
      <c r="S16" s="597"/>
      <c r="T16" s="597"/>
      <c r="U16" s="597"/>
      <c r="V16" s="597"/>
      <c r="W16" s="597"/>
      <c r="X16" s="597"/>
    </row>
    <row r="17" spans="1:24" ht="26.5" customHeight="1">
      <c r="A17" s="37"/>
      <c r="B17" s="7"/>
      <c r="C17" s="7"/>
      <c r="D17" s="7"/>
      <c r="E17" s="7"/>
      <c r="F17" s="7"/>
      <c r="G17" s="7"/>
      <c r="H17" s="7"/>
      <c r="I17" s="7"/>
      <c r="J17" s="7"/>
      <c r="K17" s="7"/>
      <c r="L17" s="7"/>
      <c r="N17" s="56">
        <v>9</v>
      </c>
      <c r="O17" s="597"/>
      <c r="P17" s="597"/>
      <c r="Q17" s="597"/>
      <c r="R17" s="597"/>
      <c r="S17" s="597"/>
      <c r="T17" s="597"/>
      <c r="U17" s="597"/>
      <c r="V17" s="597"/>
      <c r="W17" s="597"/>
      <c r="X17" s="597"/>
    </row>
    <row r="18" spans="1:24" ht="26.5" customHeight="1">
      <c r="A18" s="37"/>
      <c r="B18" s="7"/>
      <c r="C18" s="7"/>
      <c r="D18" s="7"/>
      <c r="E18" s="7"/>
      <c r="F18" s="7"/>
      <c r="G18" s="7"/>
      <c r="H18" s="7"/>
      <c r="I18" s="7"/>
      <c r="J18" s="7"/>
      <c r="K18" s="7"/>
      <c r="L18" s="7"/>
      <c r="N18" s="56">
        <v>10</v>
      </c>
      <c r="O18" s="597"/>
      <c r="P18" s="597"/>
      <c r="Q18" s="597"/>
      <c r="R18" s="597"/>
      <c r="S18" s="597"/>
      <c r="T18" s="597"/>
      <c r="U18" s="597"/>
      <c r="V18" s="597"/>
      <c r="W18" s="597"/>
      <c r="X18" s="597"/>
    </row>
    <row r="19" spans="1:24" ht="26.5" customHeight="1">
      <c r="B19" s="959" t="s">
        <v>270</v>
      </c>
      <c r="C19" s="959"/>
      <c r="D19" s="959"/>
      <c r="E19" s="959"/>
      <c r="F19" s="959"/>
      <c r="G19" s="959"/>
      <c r="H19" s="959"/>
      <c r="I19" s="959"/>
      <c r="J19" s="959"/>
      <c r="K19" s="959"/>
      <c r="L19" s="959"/>
      <c r="N19" s="56">
        <v>11</v>
      </c>
      <c r="O19" s="597"/>
      <c r="P19" s="597"/>
      <c r="Q19" s="597"/>
      <c r="R19" s="597"/>
      <c r="S19" s="597"/>
      <c r="T19" s="597"/>
      <c r="U19" s="597"/>
      <c r="V19" s="597"/>
      <c r="W19" s="597"/>
      <c r="X19" s="597"/>
    </row>
    <row r="20" spans="1:24" ht="26.5" customHeight="1">
      <c r="A20" s="37"/>
      <c r="B20" s="960" t="s">
        <v>271</v>
      </c>
      <c r="C20" s="960"/>
      <c r="D20" s="960"/>
      <c r="E20" s="960"/>
      <c r="F20" s="960"/>
      <c r="G20" s="960"/>
      <c r="H20" s="960"/>
      <c r="I20" s="960"/>
      <c r="J20" s="960"/>
      <c r="K20" s="960"/>
      <c r="L20" s="960"/>
      <c r="N20" s="56">
        <v>12</v>
      </c>
      <c r="O20" s="597"/>
      <c r="P20" s="597"/>
      <c r="Q20" s="597"/>
      <c r="R20" s="597"/>
      <c r="S20" s="597"/>
      <c r="T20" s="597"/>
      <c r="U20" s="597"/>
      <c r="V20" s="597"/>
      <c r="W20" s="597"/>
      <c r="X20" s="597"/>
    </row>
    <row r="21" spans="1:24" ht="26.5" customHeight="1">
      <c r="A21" s="37"/>
      <c r="N21" s="56">
        <v>13</v>
      </c>
      <c r="O21" s="597"/>
      <c r="P21" s="597"/>
      <c r="Q21" s="597"/>
      <c r="R21" s="597"/>
      <c r="S21" s="597"/>
      <c r="T21" s="597"/>
      <c r="U21" s="597"/>
      <c r="V21" s="597"/>
      <c r="W21" s="597"/>
      <c r="X21" s="597"/>
    </row>
    <row r="22" spans="1:24" ht="26.5" customHeight="1">
      <c r="A22" s="37"/>
      <c r="B22" s="7"/>
      <c r="C22" s="7"/>
      <c r="D22" s="7"/>
      <c r="E22" s="7"/>
      <c r="F22" s="7"/>
      <c r="G22" s="7"/>
      <c r="H22" s="594" t="s">
        <v>272</v>
      </c>
      <c r="I22" s="594"/>
      <c r="J22" s="595" t="s">
        <v>874</v>
      </c>
      <c r="K22" s="595"/>
      <c r="L22" s="595"/>
      <c r="N22" s="56">
        <v>14</v>
      </c>
      <c r="O22" s="597"/>
      <c r="P22" s="597"/>
      <c r="Q22" s="597"/>
      <c r="R22" s="597"/>
      <c r="S22" s="597"/>
      <c r="T22" s="597"/>
      <c r="U22" s="597"/>
      <c r="V22" s="597"/>
      <c r="W22" s="597"/>
      <c r="X22" s="597"/>
    </row>
    <row r="23" spans="1:24" ht="26.5" customHeight="1">
      <c r="B23" s="1185" t="s">
        <v>1420</v>
      </c>
      <c r="C23" s="1185"/>
      <c r="D23" s="1185"/>
      <c r="E23" s="1185"/>
      <c r="F23" s="1185"/>
      <c r="G23" s="1185"/>
      <c r="H23" s="1185"/>
      <c r="I23" s="1185"/>
      <c r="J23" s="1185"/>
      <c r="K23" s="1185"/>
      <c r="L23" s="1185"/>
      <c r="N23" s="56">
        <v>15</v>
      </c>
      <c r="O23" s="597"/>
      <c r="P23" s="597"/>
      <c r="Q23" s="597"/>
      <c r="R23" s="597"/>
      <c r="S23" s="597"/>
      <c r="T23" s="597"/>
      <c r="U23" s="597"/>
      <c r="V23" s="597"/>
      <c r="W23" s="597"/>
      <c r="X23" s="597"/>
    </row>
    <row r="24" spans="1:24" ht="26.5" customHeight="1">
      <c r="A24" s="37"/>
      <c r="B24" s="54"/>
      <c r="C24" s="54"/>
      <c r="D24" s="54"/>
      <c r="E24" s="54"/>
      <c r="F24" s="54"/>
      <c r="G24" s="54"/>
      <c r="H24" s="54"/>
      <c r="I24" s="54"/>
      <c r="J24" s="54"/>
      <c r="K24" s="54"/>
      <c r="L24" s="54"/>
    </row>
    <row r="25" spans="1:24" ht="26.5" customHeight="1">
      <c r="A25" s="37"/>
    </row>
    <row r="26" spans="1:24">
      <c r="A26" s="37"/>
    </row>
    <row r="27" spans="1:24">
      <c r="A27" s="37"/>
    </row>
    <row r="28" spans="1:24">
      <c r="A28" s="37"/>
    </row>
    <row r="29" spans="1:24">
      <c r="A29" s="37"/>
    </row>
    <row r="30" spans="1:24">
      <c r="A30" s="37"/>
    </row>
    <row r="31" spans="1:24">
      <c r="A31" s="46"/>
    </row>
    <row r="33" spans="1:1">
      <c r="A33" s="46"/>
    </row>
    <row r="37" spans="1:1">
      <c r="A37" s="46"/>
    </row>
  </sheetData>
  <mergeCells count="115">
    <mergeCell ref="B1:L1"/>
    <mergeCell ref="B3:L3"/>
    <mergeCell ref="N3:X3"/>
    <mergeCell ref="B5:C5"/>
    <mergeCell ref="V5:X5"/>
    <mergeCell ref="B6:C6"/>
    <mergeCell ref="D6:G6"/>
    <mergeCell ref="H6:I6"/>
    <mergeCell ref="J6:L6"/>
    <mergeCell ref="N6:O6"/>
    <mergeCell ref="D5:G5"/>
    <mergeCell ref="H5:I5"/>
    <mergeCell ref="J5:L5"/>
    <mergeCell ref="N5:O5"/>
    <mergeCell ref="P5:S5"/>
    <mergeCell ref="T5:U5"/>
    <mergeCell ref="P6:S6"/>
    <mergeCell ref="T6:U6"/>
    <mergeCell ref="V6:X6"/>
    <mergeCell ref="Q8:R8"/>
    <mergeCell ref="S8:T8"/>
    <mergeCell ref="U8:V8"/>
    <mergeCell ref="W8:X8"/>
    <mergeCell ref="B9:C9"/>
    <mergeCell ref="D9:G9"/>
    <mergeCell ref="B8:C8"/>
    <mergeCell ref="D8:E8"/>
    <mergeCell ref="F8:G8"/>
    <mergeCell ref="H8:I8"/>
    <mergeCell ref="J8:L8"/>
    <mergeCell ref="O8:P8"/>
    <mergeCell ref="W9:X9"/>
    <mergeCell ref="B10:C15"/>
    <mergeCell ref="D10:L15"/>
    <mergeCell ref="O10:P10"/>
    <mergeCell ref="Q10:R10"/>
    <mergeCell ref="S10:T10"/>
    <mergeCell ref="U10:V10"/>
    <mergeCell ref="W10:X10"/>
    <mergeCell ref="H9:I9"/>
    <mergeCell ref="J9:L9"/>
    <mergeCell ref="O9:P9"/>
    <mergeCell ref="Q9:R9"/>
    <mergeCell ref="S9:T9"/>
    <mergeCell ref="U9:V9"/>
    <mergeCell ref="S13:T13"/>
    <mergeCell ref="U13:V13"/>
    <mergeCell ref="W13:X13"/>
    <mergeCell ref="O14:P14"/>
    <mergeCell ref="Q14:R14"/>
    <mergeCell ref="S14:T14"/>
    <mergeCell ref="U14:V14"/>
    <mergeCell ref="W14:X14"/>
    <mergeCell ref="W11:X11"/>
    <mergeCell ref="O12:P12"/>
    <mergeCell ref="Q12:R12"/>
    <mergeCell ref="S12:T12"/>
    <mergeCell ref="U12:V12"/>
    <mergeCell ref="W12:X12"/>
    <mergeCell ref="O13:P13"/>
    <mergeCell ref="Q13:R13"/>
    <mergeCell ref="O11:P11"/>
    <mergeCell ref="Q11:R11"/>
    <mergeCell ref="S11:T11"/>
    <mergeCell ref="U11:V11"/>
    <mergeCell ref="O15:P15"/>
    <mergeCell ref="Q15:R15"/>
    <mergeCell ref="S15:T15"/>
    <mergeCell ref="U15:V15"/>
    <mergeCell ref="W15:X15"/>
    <mergeCell ref="O16:P16"/>
    <mergeCell ref="Q16:R16"/>
    <mergeCell ref="S16:T16"/>
    <mergeCell ref="U16:V16"/>
    <mergeCell ref="W16:X16"/>
    <mergeCell ref="W18:X18"/>
    <mergeCell ref="B19:L19"/>
    <mergeCell ref="O19:P19"/>
    <mergeCell ref="Q19:R19"/>
    <mergeCell ref="S19:T19"/>
    <mergeCell ref="U19:V19"/>
    <mergeCell ref="W19:X19"/>
    <mergeCell ref="O17:P17"/>
    <mergeCell ref="Q17:R17"/>
    <mergeCell ref="S17:T17"/>
    <mergeCell ref="U17:V17"/>
    <mergeCell ref="W17:X17"/>
    <mergeCell ref="O18:P18"/>
    <mergeCell ref="Q18:R18"/>
    <mergeCell ref="S18:T18"/>
    <mergeCell ref="U18:V18"/>
    <mergeCell ref="O21:P21"/>
    <mergeCell ref="Q21:R21"/>
    <mergeCell ref="S21:T21"/>
    <mergeCell ref="U21:V21"/>
    <mergeCell ref="W21:X21"/>
    <mergeCell ref="B20:L20"/>
    <mergeCell ref="O20:P20"/>
    <mergeCell ref="Q20:R20"/>
    <mergeCell ref="S20:T20"/>
    <mergeCell ref="U20:V20"/>
    <mergeCell ref="W20:X20"/>
    <mergeCell ref="W22:X22"/>
    <mergeCell ref="B23:L23"/>
    <mergeCell ref="O23:P23"/>
    <mergeCell ref="Q23:R23"/>
    <mergeCell ref="S23:T23"/>
    <mergeCell ref="U23:V23"/>
    <mergeCell ref="W23:X23"/>
    <mergeCell ref="O22:P22"/>
    <mergeCell ref="Q22:R22"/>
    <mergeCell ref="S22:T22"/>
    <mergeCell ref="U22:V22"/>
    <mergeCell ref="H22:I22"/>
    <mergeCell ref="J22:L22"/>
  </mergeCells>
  <phoneticPr fontId="4" type="noConversion"/>
  <dataValidations xWindow="353" yWindow="757" count="2">
    <dataValidation allowBlank="1" showInputMessage="1" showErrorMessage="1" prompt="yymmdd_x000a_(년-월-일)" sqref="D8:E8" xr:uid="{00000000-0002-0000-0C00-000000000000}"/>
    <dataValidation allowBlank="1" showInputMessage="1" showErrorMessage="1" prompt="시:분_x000a_(24시간제)" sqref="F8:G8" xr:uid="{00000000-0002-0000-0C00-000001000000}"/>
  </dataValidations>
  <printOptions horizontalCentered="1"/>
  <pageMargins left="0.23622047244094502" right="0.23622047244094502" top="0.74803149606299202" bottom="0.74803149606299202" header="0.31496062992126" footer="0.31496062992126"/>
  <pageSetup paperSize="9" scale="92"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회의사전품의서">
                <anchor moveWithCells="1" sizeWithCells="1">
                  <from>
                    <xdr:col>4</xdr:col>
                    <xdr:colOff>279400</xdr:colOff>
                    <xdr:row>24</xdr:row>
                    <xdr:rowOff>127000</xdr:rowOff>
                  </from>
                  <to>
                    <xdr:col>8</xdr:col>
                    <xdr:colOff>57150</xdr:colOff>
                    <xdr:row>25</xdr:row>
                    <xdr:rowOff>152400</xdr:rowOff>
                  </to>
                </anchor>
              </controlPr>
            </control>
          </mc:Choice>
        </mc:AlternateContent>
        <mc:AlternateContent xmlns:mc="http://schemas.openxmlformats.org/markup-compatibility/2006">
          <mc:Choice Requires="x14">
            <control shapeId="8195" r:id="rId5" name="Button 3">
              <controlPr defaultSize="0" print="0" autoFill="0" autoPict="0" macro="[0]!참석자서명부">
                <anchor moveWithCells="1" sizeWithCells="1">
                  <from>
                    <xdr:col>16</xdr:col>
                    <xdr:colOff>647700</xdr:colOff>
                    <xdr:row>24</xdr:row>
                    <xdr:rowOff>95250</xdr:rowOff>
                  </from>
                  <to>
                    <xdr:col>20</xdr:col>
                    <xdr:colOff>431800</xdr:colOff>
                    <xdr:row>25</xdr:row>
                    <xdr:rowOff>127000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7030A0"/>
    <pageSetUpPr fitToPage="1"/>
  </sheetPr>
  <dimension ref="A1:U43"/>
  <sheetViews>
    <sheetView showGridLines="0" zoomScale="90" zoomScaleNormal="90" workbookViewId="0">
      <selection activeCell="F25" sqref="F25"/>
    </sheetView>
  </sheetViews>
  <sheetFormatPr defaultRowHeight="17"/>
  <cols>
    <col min="1" max="1" width="5" bestFit="1" customWidth="1"/>
    <col min="5" max="5" width="9.25" bestFit="1" customWidth="1"/>
    <col min="6" max="6" width="10.25" bestFit="1" customWidth="1"/>
    <col min="7" max="9" width="11.75" bestFit="1" customWidth="1"/>
    <col min="10" max="10" width="13.08203125" bestFit="1" customWidth="1"/>
    <col min="12" max="12" width="10.9140625" bestFit="1" customWidth="1"/>
    <col min="13" max="13" width="18.4140625" bestFit="1" customWidth="1"/>
    <col min="14" max="14" width="12.75" bestFit="1" customWidth="1"/>
    <col min="15" max="15" width="11.75" bestFit="1" customWidth="1"/>
    <col min="17" max="17" width="10.25" customWidth="1"/>
    <col min="18" max="18" width="13.08203125" style="30" bestFit="1" customWidth="1"/>
    <col min="19" max="19" width="9" style="30"/>
    <col min="20" max="21" width="11.08203125" style="30" bestFit="1" customWidth="1"/>
  </cols>
  <sheetData>
    <row r="1" spans="1:21" ht="31.5" customHeight="1">
      <c r="A1" s="4"/>
      <c r="B1" s="4"/>
      <c r="C1" s="4"/>
      <c r="D1" s="4"/>
      <c r="E1" s="4"/>
      <c r="F1" s="4"/>
      <c r="G1" s="4"/>
      <c r="H1" s="4"/>
      <c r="I1" s="4"/>
      <c r="J1" s="4"/>
      <c r="K1" s="4"/>
      <c r="L1" s="4"/>
    </row>
    <row r="2" spans="1:21" ht="33.75" customHeight="1">
      <c r="A2" s="617" t="s">
        <v>1155</v>
      </c>
      <c r="B2" s="617"/>
      <c r="C2" s="617"/>
      <c r="D2" s="617"/>
      <c r="E2" s="617"/>
      <c r="F2" s="617"/>
      <c r="G2" s="617"/>
      <c r="H2" s="617"/>
      <c r="I2" s="617"/>
      <c r="J2" s="617"/>
      <c r="K2" s="617"/>
      <c r="L2" s="617"/>
      <c r="M2" s="617"/>
      <c r="N2" s="617"/>
      <c r="O2" s="617"/>
      <c r="P2" s="617"/>
      <c r="Q2" s="617"/>
      <c r="R2" s="617"/>
      <c r="S2" s="617"/>
      <c r="T2" s="617"/>
      <c r="U2" s="617"/>
    </row>
    <row r="3" spans="1:21">
      <c r="A3" s="55"/>
      <c r="B3" s="55"/>
      <c r="C3" s="55"/>
      <c r="D3" s="55"/>
      <c r="E3" s="55"/>
      <c r="F3" s="55"/>
      <c r="G3" s="55"/>
      <c r="H3" s="55"/>
      <c r="I3" s="55"/>
      <c r="J3" s="55"/>
      <c r="K3" s="55"/>
      <c r="L3" s="55"/>
    </row>
    <row r="4" spans="1:21" ht="26.25" customHeight="1">
      <c r="A4" s="1202" t="s">
        <v>257</v>
      </c>
      <c r="B4" s="1202"/>
      <c r="C4" s="1193"/>
      <c r="D4" s="1193"/>
      <c r="E4" s="1193"/>
      <c r="F4" s="1193"/>
      <c r="G4" s="1193"/>
      <c r="H4" s="1193"/>
      <c r="I4" s="1193"/>
      <c r="J4" s="1193"/>
      <c r="K4" s="1193"/>
      <c r="L4" s="1193"/>
      <c r="M4" s="146" t="s">
        <v>460</v>
      </c>
      <c r="N4" s="1194"/>
      <c r="O4" s="1194"/>
      <c r="P4" s="1194"/>
      <c r="Q4" s="1194"/>
      <c r="R4" s="1194"/>
      <c r="S4" s="1194"/>
      <c r="T4" s="1194"/>
      <c r="U4" s="1194"/>
    </row>
    <row r="5" spans="1:21">
      <c r="A5" s="4"/>
      <c r="B5" s="4"/>
      <c r="C5" s="4"/>
      <c r="D5" s="4"/>
      <c r="E5" s="4"/>
      <c r="F5" s="4"/>
      <c r="G5" s="4"/>
      <c r="H5" s="4"/>
      <c r="I5" s="4"/>
      <c r="J5" s="4"/>
      <c r="K5" s="4"/>
      <c r="L5" s="4"/>
    </row>
    <row r="6" spans="1:21">
      <c r="A6" s="1198" t="s">
        <v>432</v>
      </c>
      <c r="B6" s="1195" t="s">
        <v>59</v>
      </c>
      <c r="C6" s="1195" t="s">
        <v>433</v>
      </c>
      <c r="D6" s="1195" t="s">
        <v>434</v>
      </c>
      <c r="E6" s="1195" t="s">
        <v>66</v>
      </c>
      <c r="F6" s="1195"/>
      <c r="G6" s="1195" t="s">
        <v>435</v>
      </c>
      <c r="H6" s="1195" t="s">
        <v>436</v>
      </c>
      <c r="I6" s="1195" t="s">
        <v>437</v>
      </c>
      <c r="J6" s="1200" t="s">
        <v>1236</v>
      </c>
      <c r="K6" s="1195" t="s">
        <v>438</v>
      </c>
      <c r="L6" s="1195" t="s">
        <v>439</v>
      </c>
      <c r="M6" s="1195" t="s">
        <v>180</v>
      </c>
      <c r="N6" s="1195" t="s">
        <v>440</v>
      </c>
      <c r="O6" s="1195" t="s">
        <v>441</v>
      </c>
      <c r="P6" s="1195" t="s">
        <v>442</v>
      </c>
      <c r="Q6" s="1200" t="s">
        <v>1238</v>
      </c>
      <c r="R6" s="1191" t="s">
        <v>455</v>
      </c>
      <c r="S6" s="1191" t="s">
        <v>456</v>
      </c>
      <c r="T6" s="1191" t="s">
        <v>457</v>
      </c>
      <c r="U6" s="1192"/>
    </row>
    <row r="7" spans="1:21">
      <c r="A7" s="1199"/>
      <c r="B7" s="1196"/>
      <c r="C7" s="1196"/>
      <c r="D7" s="1196"/>
      <c r="E7" s="153" t="s">
        <v>443</v>
      </c>
      <c r="F7" s="153" t="s">
        <v>444</v>
      </c>
      <c r="G7" s="1196"/>
      <c r="H7" s="1196"/>
      <c r="I7" s="1196"/>
      <c r="J7" s="1201"/>
      <c r="K7" s="1196"/>
      <c r="L7" s="1196"/>
      <c r="M7" s="1196"/>
      <c r="N7" s="1196"/>
      <c r="O7" s="1196"/>
      <c r="P7" s="1196"/>
      <c r="Q7" s="1201"/>
      <c r="R7" s="1197"/>
      <c r="S7" s="1197"/>
      <c r="T7" s="143" t="s">
        <v>458</v>
      </c>
      <c r="U7" s="144" t="s">
        <v>459</v>
      </c>
    </row>
    <row r="8" spans="1:21">
      <c r="A8" s="127">
        <v>1</v>
      </c>
      <c r="B8" s="128" t="s">
        <v>445</v>
      </c>
      <c r="C8" s="128"/>
      <c r="D8" s="128"/>
      <c r="E8" s="128">
        <v>789012</v>
      </c>
      <c r="F8" s="128">
        <v>1234567</v>
      </c>
      <c r="G8" s="128" t="s">
        <v>446</v>
      </c>
      <c r="H8" s="128" t="s">
        <v>446</v>
      </c>
      <c r="I8" s="128" t="s">
        <v>446</v>
      </c>
      <c r="J8" s="128"/>
      <c r="K8" s="128" t="s">
        <v>447</v>
      </c>
      <c r="L8" s="128"/>
      <c r="M8" s="128" t="s">
        <v>448</v>
      </c>
      <c r="N8" s="129">
        <v>1231234512</v>
      </c>
      <c r="O8" s="128" t="s">
        <v>463</v>
      </c>
      <c r="P8" s="128" t="s">
        <v>445</v>
      </c>
      <c r="Q8" s="128"/>
      <c r="R8" s="128" t="s">
        <v>798</v>
      </c>
      <c r="S8" s="128" t="s">
        <v>795</v>
      </c>
      <c r="T8" s="128">
        <v>20200101</v>
      </c>
      <c r="U8" s="145">
        <v>20201231</v>
      </c>
    </row>
    <row r="9" spans="1:21">
      <c r="A9" s="127">
        <v>2</v>
      </c>
      <c r="B9" s="128" t="s">
        <v>450</v>
      </c>
      <c r="C9" s="128"/>
      <c r="D9" s="128"/>
      <c r="E9" s="128">
        <v>889012</v>
      </c>
      <c r="F9" s="128">
        <v>5234567</v>
      </c>
      <c r="G9" s="128" t="s">
        <v>446</v>
      </c>
      <c r="H9" s="128" t="s">
        <v>446</v>
      </c>
      <c r="I9" s="128" t="s">
        <v>446</v>
      </c>
      <c r="J9" s="128"/>
      <c r="K9" s="128" t="s">
        <v>451</v>
      </c>
      <c r="L9" s="128" t="s">
        <v>452</v>
      </c>
      <c r="M9" s="128" t="s">
        <v>453</v>
      </c>
      <c r="N9" s="129">
        <v>2231234512</v>
      </c>
      <c r="O9" s="128" t="s">
        <v>454</v>
      </c>
      <c r="P9" s="128" t="s">
        <v>450</v>
      </c>
      <c r="Q9" s="128"/>
      <c r="R9" s="128" t="s">
        <v>798</v>
      </c>
      <c r="S9" s="128" t="s">
        <v>808</v>
      </c>
      <c r="T9" s="128">
        <v>20200301</v>
      </c>
      <c r="U9" s="145">
        <v>20200831</v>
      </c>
    </row>
    <row r="10" spans="1:21">
      <c r="A10" s="131"/>
      <c r="B10" s="132"/>
      <c r="C10" s="132"/>
      <c r="D10" s="132"/>
      <c r="E10" s="132"/>
      <c r="F10" s="132"/>
      <c r="G10" s="132"/>
      <c r="H10" s="132"/>
      <c r="I10" s="132"/>
      <c r="J10" s="132"/>
      <c r="K10" s="142"/>
      <c r="L10" s="132"/>
      <c r="M10" s="132"/>
      <c r="N10" s="133"/>
      <c r="O10" s="128"/>
      <c r="P10" s="132"/>
      <c r="Q10" s="132"/>
      <c r="R10" s="142"/>
      <c r="S10" s="142"/>
      <c r="T10" s="132"/>
      <c r="U10" s="140"/>
    </row>
    <row r="11" spans="1:21">
      <c r="A11" s="134"/>
      <c r="B11" s="132"/>
      <c r="C11" s="132"/>
      <c r="D11" s="132"/>
      <c r="E11" s="132"/>
      <c r="F11" s="132"/>
      <c r="G11" s="132"/>
      <c r="H11" s="132"/>
      <c r="I11" s="132"/>
      <c r="J11" s="132"/>
      <c r="K11" s="142"/>
      <c r="L11" s="132"/>
      <c r="M11" s="132"/>
      <c r="N11" s="133"/>
      <c r="O11" s="128"/>
      <c r="P11" s="132"/>
      <c r="Q11" s="132"/>
      <c r="R11" s="142"/>
      <c r="S11" s="142"/>
      <c r="T11" s="132"/>
      <c r="U11" s="140"/>
    </row>
    <row r="12" spans="1:21">
      <c r="A12" s="134"/>
      <c r="B12" s="132"/>
      <c r="C12" s="132"/>
      <c r="D12" s="132"/>
      <c r="E12" s="132"/>
      <c r="F12" s="132"/>
      <c r="G12" s="132"/>
      <c r="H12" s="132"/>
      <c r="I12" s="132"/>
      <c r="J12" s="132"/>
      <c r="K12" s="142"/>
      <c r="L12" s="132"/>
      <c r="M12" s="132"/>
      <c r="N12" s="133"/>
      <c r="O12" s="128"/>
      <c r="P12" s="132"/>
      <c r="Q12" s="132"/>
      <c r="R12" s="142"/>
      <c r="S12" s="142"/>
      <c r="T12" s="132"/>
      <c r="U12" s="140"/>
    </row>
    <row r="13" spans="1:21">
      <c r="A13" s="134"/>
      <c r="B13" s="132"/>
      <c r="C13" s="132"/>
      <c r="D13" s="132"/>
      <c r="E13" s="132"/>
      <c r="F13" s="132"/>
      <c r="G13" s="132"/>
      <c r="H13" s="132"/>
      <c r="I13" s="132"/>
      <c r="J13" s="132"/>
      <c r="K13" s="142"/>
      <c r="L13" s="132"/>
      <c r="M13" s="132"/>
      <c r="N13" s="133"/>
      <c r="O13" s="128"/>
      <c r="P13" s="132"/>
      <c r="Q13" s="132"/>
      <c r="R13" s="142"/>
      <c r="S13" s="142"/>
      <c r="T13" s="132"/>
      <c r="U13" s="140"/>
    </row>
    <row r="14" spans="1:21">
      <c r="A14" s="134"/>
      <c r="B14" s="132"/>
      <c r="C14" s="132"/>
      <c r="D14" s="132"/>
      <c r="E14" s="132"/>
      <c r="F14" s="132"/>
      <c r="G14" s="132"/>
      <c r="H14" s="132"/>
      <c r="I14" s="132"/>
      <c r="J14" s="132"/>
      <c r="K14" s="142"/>
      <c r="L14" s="132"/>
      <c r="M14" s="132"/>
      <c r="N14" s="133"/>
      <c r="O14" s="128"/>
      <c r="P14" s="132"/>
      <c r="Q14" s="132"/>
      <c r="R14" s="142"/>
      <c r="S14" s="142"/>
      <c r="T14" s="132"/>
      <c r="U14" s="140"/>
    </row>
    <row r="15" spans="1:21">
      <c r="A15" s="134"/>
      <c r="B15" s="132"/>
      <c r="C15" s="132"/>
      <c r="D15" s="132"/>
      <c r="E15" s="132"/>
      <c r="F15" s="132"/>
      <c r="G15" s="132"/>
      <c r="H15" s="132"/>
      <c r="I15" s="132"/>
      <c r="J15" s="132"/>
      <c r="K15" s="142"/>
      <c r="L15" s="132"/>
      <c r="M15" s="132"/>
      <c r="N15" s="133"/>
      <c r="O15" s="128"/>
      <c r="P15" s="132"/>
      <c r="Q15" s="132"/>
      <c r="R15" s="142"/>
      <c r="S15" s="142"/>
      <c r="T15" s="132"/>
      <c r="U15" s="140"/>
    </row>
    <row r="16" spans="1:21">
      <c r="A16" s="135"/>
      <c r="B16" s="130"/>
      <c r="C16" s="130"/>
      <c r="D16" s="130"/>
      <c r="E16" s="130"/>
      <c r="F16" s="130"/>
      <c r="G16" s="130"/>
      <c r="H16" s="130"/>
      <c r="I16" s="130"/>
      <c r="J16" s="130"/>
      <c r="K16" s="142"/>
      <c r="L16" s="130"/>
      <c r="M16" s="130"/>
      <c r="N16" s="130"/>
      <c r="O16" s="128"/>
      <c r="P16" s="130"/>
      <c r="Q16" s="130"/>
      <c r="R16" s="142"/>
      <c r="S16" s="142"/>
      <c r="T16" s="132"/>
      <c r="U16" s="140"/>
    </row>
    <row r="17" spans="1:21">
      <c r="A17" s="135"/>
      <c r="B17" s="130"/>
      <c r="C17" s="130"/>
      <c r="D17" s="130"/>
      <c r="E17" s="130"/>
      <c r="F17" s="130"/>
      <c r="G17" s="130"/>
      <c r="H17" s="130"/>
      <c r="I17" s="130"/>
      <c r="J17" s="130"/>
      <c r="K17" s="142"/>
      <c r="L17" s="130"/>
      <c r="M17" s="130"/>
      <c r="N17" s="130"/>
      <c r="O17" s="128"/>
      <c r="P17" s="130"/>
      <c r="Q17" s="130"/>
      <c r="R17" s="142"/>
      <c r="S17" s="142"/>
      <c r="T17" s="132"/>
      <c r="U17" s="140"/>
    </row>
    <row r="18" spans="1:21">
      <c r="A18" s="135"/>
      <c r="B18" s="130"/>
      <c r="C18" s="130"/>
      <c r="D18" s="130"/>
      <c r="E18" s="130"/>
      <c r="F18" s="130"/>
      <c r="G18" s="130"/>
      <c r="H18" s="130"/>
      <c r="I18" s="130"/>
      <c r="J18" s="130"/>
      <c r="K18" s="142"/>
      <c r="L18" s="130"/>
      <c r="M18" s="130"/>
      <c r="N18" s="130"/>
      <c r="O18" s="128"/>
      <c r="P18" s="130"/>
      <c r="Q18" s="130"/>
      <c r="R18" s="142"/>
      <c r="S18" s="142"/>
      <c r="T18" s="132"/>
      <c r="U18" s="140"/>
    </row>
    <row r="19" spans="1:21">
      <c r="A19" s="135"/>
      <c r="B19" s="130"/>
      <c r="C19" s="130"/>
      <c r="D19" s="130"/>
      <c r="E19" s="130"/>
      <c r="F19" s="130"/>
      <c r="G19" s="130"/>
      <c r="H19" s="130"/>
      <c r="I19" s="130"/>
      <c r="J19" s="130"/>
      <c r="K19" s="142"/>
      <c r="L19" s="130"/>
      <c r="M19" s="130"/>
      <c r="N19" s="130"/>
      <c r="O19" s="128"/>
      <c r="P19" s="130"/>
      <c r="Q19" s="130"/>
      <c r="R19" s="142"/>
      <c r="S19" s="142"/>
      <c r="T19" s="132"/>
      <c r="U19" s="140"/>
    </row>
    <row r="20" spans="1:21">
      <c r="A20" s="135"/>
      <c r="B20" s="130"/>
      <c r="C20" s="130"/>
      <c r="D20" s="130"/>
      <c r="E20" s="130"/>
      <c r="F20" s="130"/>
      <c r="G20" s="130"/>
      <c r="H20" s="130"/>
      <c r="I20" s="130"/>
      <c r="J20" s="130"/>
      <c r="K20" s="142"/>
      <c r="L20" s="130"/>
      <c r="M20" s="130"/>
      <c r="N20" s="130"/>
      <c r="O20" s="128"/>
      <c r="P20" s="130"/>
      <c r="Q20" s="130"/>
      <c r="R20" s="142"/>
      <c r="S20" s="142"/>
      <c r="T20" s="132"/>
      <c r="U20" s="140"/>
    </row>
    <row r="21" spans="1:21">
      <c r="A21" s="135"/>
      <c r="B21" s="130"/>
      <c r="C21" s="130"/>
      <c r="D21" s="130"/>
      <c r="E21" s="130"/>
      <c r="F21" s="130"/>
      <c r="G21" s="130"/>
      <c r="H21" s="130"/>
      <c r="I21" s="130"/>
      <c r="J21" s="130"/>
      <c r="K21" s="142"/>
      <c r="L21" s="130"/>
      <c r="M21" s="130"/>
      <c r="N21" s="130"/>
      <c r="O21" s="128"/>
      <c r="P21" s="130"/>
      <c r="Q21" s="130"/>
      <c r="R21" s="142"/>
      <c r="S21" s="142"/>
      <c r="T21" s="132"/>
      <c r="U21" s="140"/>
    </row>
    <row r="22" spans="1:21">
      <c r="A22" s="135"/>
      <c r="B22" s="130"/>
      <c r="C22" s="130"/>
      <c r="D22" s="130"/>
      <c r="E22" s="130"/>
      <c r="F22" s="130"/>
      <c r="G22" s="130"/>
      <c r="H22" s="130"/>
      <c r="I22" s="130"/>
      <c r="J22" s="130"/>
      <c r="K22" s="142"/>
      <c r="L22" s="130"/>
      <c r="M22" s="130"/>
      <c r="N22" s="130"/>
      <c r="O22" s="128"/>
      <c r="P22" s="130"/>
      <c r="Q22" s="130"/>
      <c r="R22" s="142"/>
      <c r="S22" s="142"/>
      <c r="T22" s="132"/>
      <c r="U22" s="140"/>
    </row>
    <row r="23" spans="1:21">
      <c r="A23" s="135"/>
      <c r="B23" s="130"/>
      <c r="C23" s="130"/>
      <c r="D23" s="130"/>
      <c r="E23" s="130"/>
      <c r="F23" s="130"/>
      <c r="G23" s="130"/>
      <c r="H23" s="130"/>
      <c r="I23" s="130"/>
      <c r="J23" s="130"/>
      <c r="K23" s="142"/>
      <c r="L23" s="130"/>
      <c r="M23" s="130"/>
      <c r="N23" s="130"/>
      <c r="O23" s="128"/>
      <c r="P23" s="130"/>
      <c r="Q23" s="130"/>
      <c r="R23" s="142"/>
      <c r="S23" s="142"/>
      <c r="T23" s="132"/>
      <c r="U23" s="140"/>
    </row>
    <row r="24" spans="1:21">
      <c r="A24" s="135"/>
      <c r="B24" s="130"/>
      <c r="C24" s="130"/>
      <c r="D24" s="130"/>
      <c r="E24" s="130"/>
      <c r="F24" s="130"/>
      <c r="G24" s="130"/>
      <c r="H24" s="130"/>
      <c r="I24" s="130"/>
      <c r="J24" s="130"/>
      <c r="K24" s="142"/>
      <c r="L24" s="130"/>
      <c r="M24" s="130"/>
      <c r="N24" s="130"/>
      <c r="O24" s="128"/>
      <c r="P24" s="130"/>
      <c r="Q24" s="130"/>
      <c r="R24" s="142"/>
      <c r="S24" s="142"/>
      <c r="T24" s="132"/>
      <c r="U24" s="140"/>
    </row>
    <row r="25" spans="1:21">
      <c r="A25" s="135"/>
      <c r="B25" s="130"/>
      <c r="C25" s="130"/>
      <c r="D25" s="130"/>
      <c r="E25" s="130"/>
      <c r="F25" s="130"/>
      <c r="G25" s="130"/>
      <c r="H25" s="130"/>
      <c r="I25" s="130"/>
      <c r="J25" s="130"/>
      <c r="K25" s="142"/>
      <c r="L25" s="130"/>
      <c r="M25" s="130"/>
      <c r="N25" s="130"/>
      <c r="O25" s="128"/>
      <c r="P25" s="130"/>
      <c r="Q25" s="130"/>
      <c r="R25" s="142"/>
      <c r="S25" s="142"/>
      <c r="T25" s="132"/>
      <c r="U25" s="140"/>
    </row>
    <row r="26" spans="1:21">
      <c r="A26" s="135"/>
      <c r="B26" s="130"/>
      <c r="C26" s="130"/>
      <c r="D26" s="130"/>
      <c r="E26" s="130"/>
      <c r="F26" s="130"/>
      <c r="G26" s="130"/>
      <c r="H26" s="130"/>
      <c r="I26" s="130"/>
      <c r="J26" s="130"/>
      <c r="K26" s="142"/>
      <c r="L26" s="130"/>
      <c r="M26" s="130"/>
      <c r="N26" s="130"/>
      <c r="O26" s="128"/>
      <c r="P26" s="130"/>
      <c r="Q26" s="130"/>
      <c r="R26" s="142"/>
      <c r="S26" s="142"/>
      <c r="T26" s="132"/>
      <c r="U26" s="140"/>
    </row>
    <row r="27" spans="1:21">
      <c r="A27" s="135"/>
      <c r="B27" s="130"/>
      <c r="C27" s="130"/>
      <c r="D27" s="130"/>
      <c r="E27" s="130"/>
      <c r="F27" s="130"/>
      <c r="G27" s="130"/>
      <c r="H27" s="130"/>
      <c r="I27" s="130"/>
      <c r="J27" s="130"/>
      <c r="K27" s="142"/>
      <c r="L27" s="130"/>
      <c r="M27" s="130"/>
      <c r="N27" s="130"/>
      <c r="O27" s="128"/>
      <c r="P27" s="130"/>
      <c r="Q27" s="130"/>
      <c r="R27" s="142"/>
      <c r="S27" s="142"/>
      <c r="T27" s="132"/>
      <c r="U27" s="140"/>
    </row>
    <row r="28" spans="1:21">
      <c r="A28" s="135"/>
      <c r="B28" s="130"/>
      <c r="C28" s="130"/>
      <c r="D28" s="130"/>
      <c r="E28" s="130"/>
      <c r="F28" s="130"/>
      <c r="G28" s="130"/>
      <c r="H28" s="130"/>
      <c r="I28" s="130"/>
      <c r="J28" s="130"/>
      <c r="K28" s="142"/>
      <c r="L28" s="130"/>
      <c r="M28" s="130"/>
      <c r="N28" s="130"/>
      <c r="O28" s="128"/>
      <c r="P28" s="130"/>
      <c r="Q28" s="130"/>
      <c r="R28" s="142"/>
      <c r="S28" s="142"/>
      <c r="T28" s="132"/>
      <c r="U28" s="140"/>
    </row>
    <row r="29" spans="1:21">
      <c r="A29" s="135"/>
      <c r="B29" s="130"/>
      <c r="C29" s="130"/>
      <c r="D29" s="130"/>
      <c r="E29" s="130"/>
      <c r="F29" s="130"/>
      <c r="G29" s="130"/>
      <c r="H29" s="130"/>
      <c r="I29" s="130"/>
      <c r="J29" s="130"/>
      <c r="K29" s="142"/>
      <c r="L29" s="130"/>
      <c r="M29" s="130"/>
      <c r="N29" s="130"/>
      <c r="O29" s="128"/>
      <c r="P29" s="130"/>
      <c r="Q29" s="130"/>
      <c r="R29" s="142"/>
      <c r="S29" s="142"/>
      <c r="T29" s="132"/>
      <c r="U29" s="140"/>
    </row>
    <row r="30" spans="1:21">
      <c r="A30" s="135"/>
      <c r="B30" s="130"/>
      <c r="C30" s="130"/>
      <c r="D30" s="130"/>
      <c r="E30" s="130"/>
      <c r="F30" s="130"/>
      <c r="G30" s="130"/>
      <c r="H30" s="130"/>
      <c r="I30" s="130"/>
      <c r="J30" s="130"/>
      <c r="K30" s="142"/>
      <c r="L30" s="130"/>
      <c r="M30" s="130"/>
      <c r="N30" s="130"/>
      <c r="O30" s="128"/>
      <c r="P30" s="130"/>
      <c r="Q30" s="130"/>
      <c r="R30" s="142"/>
      <c r="S30" s="142"/>
      <c r="T30" s="132"/>
      <c r="U30" s="140"/>
    </row>
    <row r="31" spans="1:21">
      <c r="A31" s="135"/>
      <c r="B31" s="130"/>
      <c r="C31" s="130"/>
      <c r="D31" s="130"/>
      <c r="E31" s="130"/>
      <c r="F31" s="130"/>
      <c r="G31" s="130"/>
      <c r="H31" s="130"/>
      <c r="I31" s="130"/>
      <c r="J31" s="130"/>
      <c r="K31" s="142"/>
      <c r="L31" s="130"/>
      <c r="M31" s="130"/>
      <c r="N31" s="130"/>
      <c r="O31" s="128"/>
      <c r="P31" s="130"/>
      <c r="Q31" s="130"/>
      <c r="R31" s="142"/>
      <c r="S31" s="142"/>
      <c r="T31" s="132"/>
      <c r="U31" s="140"/>
    </row>
    <row r="32" spans="1:21">
      <c r="A32" s="135"/>
      <c r="B32" s="130"/>
      <c r="C32" s="130"/>
      <c r="D32" s="130"/>
      <c r="E32" s="130"/>
      <c r="F32" s="130"/>
      <c r="G32" s="130"/>
      <c r="H32" s="130"/>
      <c r="I32" s="130"/>
      <c r="J32" s="130"/>
      <c r="K32" s="142"/>
      <c r="L32" s="130"/>
      <c r="M32" s="130"/>
      <c r="N32" s="130"/>
      <c r="O32" s="128"/>
      <c r="P32" s="130"/>
      <c r="Q32" s="130"/>
      <c r="R32" s="142"/>
      <c r="S32" s="142"/>
      <c r="T32" s="132"/>
      <c r="U32" s="140"/>
    </row>
    <row r="33" spans="1:21">
      <c r="A33" s="135"/>
      <c r="B33" s="130"/>
      <c r="C33" s="130"/>
      <c r="D33" s="130"/>
      <c r="E33" s="130"/>
      <c r="F33" s="130"/>
      <c r="G33" s="130"/>
      <c r="H33" s="130"/>
      <c r="I33" s="130"/>
      <c r="J33" s="130"/>
      <c r="K33" s="142"/>
      <c r="L33" s="130"/>
      <c r="M33" s="130"/>
      <c r="N33" s="130"/>
      <c r="O33" s="128"/>
      <c r="P33" s="130"/>
      <c r="Q33" s="130"/>
      <c r="R33" s="142"/>
      <c r="S33" s="142"/>
      <c r="T33" s="132"/>
      <c r="U33" s="140"/>
    </row>
    <row r="34" spans="1:21">
      <c r="A34" s="135"/>
      <c r="B34" s="130"/>
      <c r="C34" s="130"/>
      <c r="D34" s="130"/>
      <c r="E34" s="130"/>
      <c r="F34" s="130"/>
      <c r="G34" s="130"/>
      <c r="H34" s="130"/>
      <c r="I34" s="130"/>
      <c r="J34" s="130"/>
      <c r="K34" s="142"/>
      <c r="L34" s="130"/>
      <c r="M34" s="130"/>
      <c r="N34" s="130"/>
      <c r="O34" s="128"/>
      <c r="P34" s="130"/>
      <c r="Q34" s="130"/>
      <c r="R34" s="142"/>
      <c r="S34" s="142"/>
      <c r="T34" s="132"/>
      <c r="U34" s="140"/>
    </row>
    <row r="35" spans="1:21">
      <c r="A35" s="135"/>
      <c r="B35" s="130"/>
      <c r="C35" s="130"/>
      <c r="D35" s="130"/>
      <c r="E35" s="130"/>
      <c r="F35" s="130"/>
      <c r="G35" s="130"/>
      <c r="H35" s="130"/>
      <c r="I35" s="130"/>
      <c r="J35" s="130"/>
      <c r="K35" s="142"/>
      <c r="L35" s="130"/>
      <c r="M35" s="130"/>
      <c r="N35" s="130"/>
      <c r="O35" s="128"/>
      <c r="P35" s="130"/>
      <c r="Q35" s="130"/>
      <c r="R35" s="142"/>
      <c r="S35" s="142"/>
      <c r="T35" s="132"/>
      <c r="U35" s="140"/>
    </row>
    <row r="36" spans="1:21">
      <c r="A36" s="135"/>
      <c r="B36" s="130"/>
      <c r="C36" s="130"/>
      <c r="D36" s="130"/>
      <c r="E36" s="130"/>
      <c r="F36" s="130"/>
      <c r="G36" s="130"/>
      <c r="H36" s="130"/>
      <c r="I36" s="130"/>
      <c r="J36" s="130"/>
      <c r="K36" s="142"/>
      <c r="L36" s="130"/>
      <c r="M36" s="130"/>
      <c r="N36" s="130"/>
      <c r="O36" s="128"/>
      <c r="P36" s="130"/>
      <c r="Q36" s="130"/>
      <c r="R36" s="142"/>
      <c r="S36" s="142"/>
      <c r="T36" s="132"/>
      <c r="U36" s="140"/>
    </row>
    <row r="37" spans="1:21">
      <c r="A37" s="135"/>
      <c r="B37" s="130"/>
      <c r="C37" s="130"/>
      <c r="D37" s="130"/>
      <c r="E37" s="130"/>
      <c r="F37" s="130"/>
      <c r="G37" s="130"/>
      <c r="H37" s="130"/>
      <c r="I37" s="130"/>
      <c r="J37" s="130"/>
      <c r="K37" s="142"/>
      <c r="L37" s="130"/>
      <c r="M37" s="130"/>
      <c r="N37" s="130"/>
      <c r="O37" s="128"/>
      <c r="P37" s="130"/>
      <c r="Q37" s="130"/>
      <c r="R37" s="142"/>
      <c r="S37" s="142"/>
      <c r="T37" s="132"/>
      <c r="U37" s="140"/>
    </row>
    <row r="38" spans="1:21">
      <c r="A38" s="135"/>
      <c r="B38" s="130"/>
      <c r="C38" s="130"/>
      <c r="D38" s="130"/>
      <c r="E38" s="130"/>
      <c r="F38" s="130"/>
      <c r="G38" s="130"/>
      <c r="H38" s="130"/>
      <c r="I38" s="130"/>
      <c r="J38" s="130"/>
      <c r="K38" s="142"/>
      <c r="L38" s="130"/>
      <c r="M38" s="130"/>
      <c r="N38" s="130"/>
      <c r="O38" s="128"/>
      <c r="P38" s="130"/>
      <c r="Q38" s="130"/>
      <c r="R38" s="142"/>
      <c r="S38" s="142"/>
      <c r="T38" s="132"/>
      <c r="U38" s="140"/>
    </row>
    <row r="39" spans="1:21">
      <c r="A39" s="135"/>
      <c r="B39" s="130"/>
      <c r="C39" s="130"/>
      <c r="D39" s="130"/>
      <c r="E39" s="130"/>
      <c r="F39" s="130"/>
      <c r="G39" s="130"/>
      <c r="H39" s="130"/>
      <c r="I39" s="130"/>
      <c r="J39" s="130"/>
      <c r="K39" s="142"/>
      <c r="L39" s="130"/>
      <c r="M39" s="130"/>
      <c r="N39" s="130"/>
      <c r="O39" s="128"/>
      <c r="P39" s="130"/>
      <c r="Q39" s="130"/>
      <c r="R39" s="142"/>
      <c r="S39" s="142"/>
      <c r="T39" s="132"/>
      <c r="U39" s="140"/>
    </row>
    <row r="40" spans="1:21">
      <c r="A40" s="135"/>
      <c r="B40" s="130"/>
      <c r="C40" s="130"/>
      <c r="D40" s="130"/>
      <c r="E40" s="130"/>
      <c r="F40" s="130"/>
      <c r="G40" s="130"/>
      <c r="H40" s="130"/>
      <c r="I40" s="130"/>
      <c r="J40" s="130"/>
      <c r="K40" s="142"/>
      <c r="L40" s="130"/>
      <c r="M40" s="130"/>
      <c r="N40" s="130"/>
      <c r="O40" s="128"/>
      <c r="P40" s="130"/>
      <c r="Q40" s="130"/>
      <c r="R40" s="142"/>
      <c r="S40" s="142"/>
      <c r="T40" s="132"/>
      <c r="U40" s="140"/>
    </row>
    <row r="41" spans="1:21">
      <c r="A41" s="135"/>
      <c r="B41" s="130"/>
      <c r="C41" s="130"/>
      <c r="D41" s="130"/>
      <c r="E41" s="130"/>
      <c r="F41" s="130"/>
      <c r="G41" s="130"/>
      <c r="H41" s="130"/>
      <c r="I41" s="130"/>
      <c r="J41" s="130"/>
      <c r="K41" s="142"/>
      <c r="L41" s="130"/>
      <c r="M41" s="130"/>
      <c r="N41" s="130"/>
      <c r="O41" s="128"/>
      <c r="P41" s="130"/>
      <c r="Q41" s="130"/>
      <c r="R41" s="142"/>
      <c r="S41" s="142"/>
      <c r="T41" s="132"/>
      <c r="U41" s="140"/>
    </row>
    <row r="42" spans="1:21">
      <c r="A42" s="135"/>
      <c r="B42" s="130"/>
      <c r="C42" s="130"/>
      <c r="D42" s="130"/>
      <c r="E42" s="130"/>
      <c r="F42" s="130"/>
      <c r="G42" s="130"/>
      <c r="H42" s="130"/>
      <c r="I42" s="130"/>
      <c r="J42" s="130"/>
      <c r="K42" s="142"/>
      <c r="L42" s="130"/>
      <c r="M42" s="130"/>
      <c r="N42" s="130"/>
      <c r="O42" s="128"/>
      <c r="P42" s="130"/>
      <c r="Q42" s="130"/>
      <c r="R42" s="142"/>
      <c r="S42" s="142"/>
      <c r="T42" s="132"/>
      <c r="U42" s="140"/>
    </row>
    <row r="43" spans="1:21">
      <c r="A43" s="136"/>
      <c r="B43" s="137"/>
      <c r="C43" s="137"/>
      <c r="D43" s="137"/>
      <c r="E43" s="137"/>
      <c r="F43" s="137"/>
      <c r="G43" s="137"/>
      <c r="H43" s="137"/>
      <c r="I43" s="137"/>
      <c r="J43" s="137"/>
      <c r="K43" s="137"/>
      <c r="L43" s="137"/>
      <c r="M43" s="137"/>
      <c r="N43" s="137"/>
      <c r="O43" s="137"/>
      <c r="P43" s="137"/>
      <c r="Q43" s="137"/>
      <c r="R43" s="147"/>
      <c r="S43" s="147"/>
      <c r="T43" s="139"/>
      <c r="U43" s="141"/>
    </row>
  </sheetData>
  <mergeCells count="23">
    <mergeCell ref="E6:F6"/>
    <mergeCell ref="G6:G7"/>
    <mergeCell ref="A4:B4"/>
    <mergeCell ref="J6:J7"/>
    <mergeCell ref="S6:S7"/>
    <mergeCell ref="K6:K7"/>
    <mergeCell ref="L6:L7"/>
    <mergeCell ref="T6:U6"/>
    <mergeCell ref="A2:U2"/>
    <mergeCell ref="C4:L4"/>
    <mergeCell ref="N4:U4"/>
    <mergeCell ref="M6:M7"/>
    <mergeCell ref="N6:N7"/>
    <mergeCell ref="O6:O7"/>
    <mergeCell ref="P6:P7"/>
    <mergeCell ref="R6:R7"/>
    <mergeCell ref="A6:A7"/>
    <mergeCell ref="B6:B7"/>
    <mergeCell ref="C6:C7"/>
    <mergeCell ref="D6:D7"/>
    <mergeCell ref="Q6:Q7"/>
    <mergeCell ref="H6:H7"/>
    <mergeCell ref="I6:I7"/>
  </mergeCells>
  <phoneticPr fontId="4" type="noConversion"/>
  <dataValidations count="2">
    <dataValidation type="textLength" operator="equal" allowBlank="1" showInputMessage="1" showErrorMessage="1" sqref="F8:F15" xr:uid="{00000000-0002-0000-0D00-000000000000}">
      <formula1>7</formula1>
    </dataValidation>
    <dataValidation type="textLength" operator="equal" allowBlank="1" showInputMessage="1" showErrorMessage="1" sqref="E8:E9" xr:uid="{00000000-0002-0000-0D00-000001000000}">
      <formula1>6</formula1>
    </dataValidation>
  </dataValidations>
  <printOptions horizontalCentered="1"/>
  <pageMargins left="0.23622047244094491" right="0.23622047244094491" top="0.74803149606299213" bottom="0.74803149606299213" header="0.31496062992125984" footer="0.31496062992125984"/>
  <pageSetup paperSize="9" scale="4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외부연구자등록신청서">
                <anchor moveWithCells="1" sizeWithCells="1">
                  <from>
                    <xdr:col>21</xdr:col>
                    <xdr:colOff>38100</xdr:colOff>
                    <xdr:row>0</xdr:row>
                    <xdr:rowOff>381000</xdr:rowOff>
                  </from>
                  <to>
                    <xdr:col>24</xdr:col>
                    <xdr:colOff>508000</xdr:colOff>
                    <xdr:row>1</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D00-000002000000}">
          <x14:formula1>
            <xm:f>Sheet1!$B$2:$B$70</xm:f>
          </x14:formula1>
          <xm:sqref>O8:O42</xm:sqref>
        </x14:dataValidation>
        <x14:dataValidation type="list" imeMode="halfHangul" allowBlank="1" showInputMessage="1" showErrorMessage="1" xr:uid="{00000000-0002-0000-0D00-000003000000}">
          <x14:formula1>
            <xm:f>Sheet1!$A$2:$A$267</xm:f>
          </x14:formula1>
          <xm:sqref>K8:K42</xm:sqref>
        </x14:dataValidation>
        <x14:dataValidation type="list" allowBlank="1" showInputMessage="1" showErrorMessage="1" xr:uid="{00000000-0002-0000-0D00-000004000000}">
          <x14:formula1>
            <xm:f>Sheet1!$D$2:$D$3</xm:f>
          </x14:formula1>
          <xm:sqref>S8:S43</xm:sqref>
        </x14:dataValidation>
        <x14:dataValidation type="list" allowBlank="1" showInputMessage="1" showErrorMessage="1" xr:uid="{00000000-0002-0000-0D00-000005000000}">
          <x14:formula1>
            <xm:f>Sheet1!$C$2:$C$8</xm:f>
          </x14:formula1>
          <xm:sqref>R8:R43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7030A0"/>
    <pageSetUpPr fitToPage="1"/>
  </sheetPr>
  <dimension ref="A1:AO57"/>
  <sheetViews>
    <sheetView showGridLines="0" zoomScale="85" zoomScaleNormal="85" workbookViewId="0"/>
  </sheetViews>
  <sheetFormatPr defaultRowHeight="17"/>
  <cols>
    <col min="1" max="1" width="4.08203125" customWidth="1"/>
    <col min="2" max="2" width="16.25" customWidth="1"/>
    <col min="3" max="3" width="10.6640625" customWidth="1"/>
    <col min="4" max="16" width="3.08203125" customWidth="1"/>
    <col min="17" max="17" width="11.25" customWidth="1"/>
    <col min="20" max="20" width="1.08203125" customWidth="1"/>
    <col min="32" max="32" width="10.25" customWidth="1"/>
  </cols>
  <sheetData>
    <row r="1" spans="1:41" ht="30" customHeight="1"/>
    <row r="2" spans="1:41" ht="30" customHeight="1">
      <c r="W2" s="1247" t="s">
        <v>1237</v>
      </c>
      <c r="X2" s="1247"/>
      <c r="Y2" s="1247"/>
      <c r="Z2" s="1247"/>
      <c r="AA2" s="1247"/>
      <c r="AB2" s="1247"/>
      <c r="AC2" s="1247"/>
      <c r="AD2" s="1247"/>
      <c r="AE2" s="1247"/>
      <c r="AF2" s="1247"/>
    </row>
    <row r="3" spans="1:41" ht="33.5">
      <c r="A3" s="1257" t="s">
        <v>1550</v>
      </c>
      <c r="B3" s="1257"/>
      <c r="C3" s="1257"/>
      <c r="D3" s="1257"/>
      <c r="E3" s="1257"/>
      <c r="F3" s="1257"/>
      <c r="G3" s="1257"/>
      <c r="H3" s="1257"/>
      <c r="I3" s="1257"/>
      <c r="J3" s="1257"/>
      <c r="K3" s="1257"/>
      <c r="L3" s="1257"/>
      <c r="M3" s="1257"/>
      <c r="N3" s="1257"/>
      <c r="O3" s="1257"/>
      <c r="P3" s="1257"/>
      <c r="Q3" s="1257"/>
      <c r="R3" s="1257"/>
      <c r="S3" s="1257"/>
      <c r="X3" s="500" t="s">
        <v>1551</v>
      </c>
      <c r="AH3" s="501" t="s">
        <v>1413</v>
      </c>
    </row>
    <row r="4" spans="1:41">
      <c r="A4" s="1258" t="s">
        <v>388</v>
      </c>
      <c r="B4" s="1258"/>
      <c r="C4" s="1258"/>
      <c r="D4" s="1258"/>
      <c r="E4" s="1258"/>
      <c r="F4" s="1258"/>
      <c r="G4" s="1258"/>
      <c r="H4" s="1258"/>
      <c r="I4" s="1258"/>
      <c r="J4" s="1258"/>
      <c r="K4" s="1258"/>
      <c r="L4" s="1258"/>
      <c r="M4" s="1258"/>
      <c r="N4" s="1258"/>
      <c r="O4" s="1258"/>
      <c r="P4" s="1258"/>
      <c r="Q4" s="1258"/>
      <c r="R4" s="1258"/>
      <c r="S4" s="1258"/>
      <c r="AH4" s="4" t="s">
        <v>1412</v>
      </c>
    </row>
    <row r="5" spans="1:41">
      <c r="A5" s="91"/>
      <c r="B5" s="91"/>
      <c r="C5" s="91"/>
      <c r="D5" s="91"/>
      <c r="E5" s="91"/>
      <c r="F5" s="91"/>
      <c r="G5" s="91"/>
      <c r="H5" s="91"/>
      <c r="I5" s="91"/>
      <c r="J5" s="91"/>
      <c r="K5" s="91"/>
      <c r="L5" s="91"/>
      <c r="M5" s="91"/>
      <c r="N5" s="91"/>
      <c r="O5" s="91"/>
      <c r="P5" s="91"/>
      <c r="Q5" s="91"/>
      <c r="R5" s="91"/>
      <c r="S5" s="91"/>
      <c r="AH5" s="1224" t="s">
        <v>1533</v>
      </c>
      <c r="AI5" s="1224"/>
      <c r="AJ5" s="1224"/>
      <c r="AK5" s="1224"/>
      <c r="AL5" s="1224"/>
      <c r="AM5" s="1224"/>
      <c r="AN5" s="1224"/>
      <c r="AO5" s="1224"/>
    </row>
    <row r="6" spans="1:41">
      <c r="M6" s="1259" t="s">
        <v>389</v>
      </c>
      <c r="N6" s="1259"/>
      <c r="O6" s="1259"/>
      <c r="Q6" s="92" t="s">
        <v>390</v>
      </c>
      <c r="R6" s="92" t="s">
        <v>391</v>
      </c>
      <c r="S6" s="92" t="s">
        <v>392</v>
      </c>
      <c r="W6" s="14" t="s">
        <v>1400</v>
      </c>
      <c r="X6" s="14"/>
      <c r="Y6" s="14"/>
      <c r="Z6" s="14"/>
      <c r="AA6" s="14"/>
      <c r="AB6" s="14"/>
      <c r="AC6" s="14"/>
      <c r="AD6" s="14"/>
      <c r="AE6" s="14"/>
      <c r="AF6" s="14"/>
      <c r="AH6" s="1224"/>
      <c r="AI6" s="1224"/>
      <c r="AJ6" s="1224"/>
      <c r="AK6" s="1224"/>
      <c r="AL6" s="1224"/>
      <c r="AM6" s="1224"/>
      <c r="AN6" s="1224"/>
      <c r="AO6" s="1224"/>
    </row>
    <row r="7" spans="1:41" ht="27.75" customHeight="1">
      <c r="M7" s="1260" t="s">
        <v>64</v>
      </c>
      <c r="N7" s="1260"/>
      <c r="O7" s="1260"/>
      <c r="Q7" s="93"/>
      <c r="R7" s="93"/>
      <c r="S7" s="93"/>
      <c r="W7" s="1225" t="s">
        <v>1401</v>
      </c>
      <c r="X7" s="1227"/>
      <c r="Y7" s="1225"/>
      <c r="Z7" s="1226"/>
      <c r="AA7" s="1227"/>
      <c r="AB7" s="1225" t="s">
        <v>1404</v>
      </c>
      <c r="AC7" s="1227"/>
      <c r="AD7" s="1225"/>
      <c r="AE7" s="1226"/>
      <c r="AF7" s="1227"/>
      <c r="AH7" s="1224"/>
      <c r="AI7" s="1224"/>
      <c r="AJ7" s="1224"/>
      <c r="AK7" s="1224"/>
      <c r="AL7" s="1224"/>
      <c r="AM7" s="1224"/>
      <c r="AN7" s="1224"/>
      <c r="AO7" s="1224"/>
    </row>
    <row r="8" spans="1:41" ht="32.25" customHeight="1">
      <c r="W8" s="1225" t="s">
        <v>1402</v>
      </c>
      <c r="X8" s="1227"/>
      <c r="Y8" s="1225"/>
      <c r="Z8" s="1226"/>
      <c r="AA8" s="1227"/>
      <c r="AB8" s="1225" t="s">
        <v>1405</v>
      </c>
      <c r="AC8" s="1227"/>
      <c r="AD8" s="1225"/>
      <c r="AE8" s="1226"/>
      <c r="AF8" s="1227"/>
      <c r="AH8" s="1224"/>
      <c r="AI8" s="1224"/>
      <c r="AJ8" s="1224"/>
      <c r="AK8" s="1224"/>
      <c r="AL8" s="1224"/>
      <c r="AM8" s="1224"/>
      <c r="AN8" s="1224"/>
      <c r="AO8" s="1224"/>
    </row>
    <row r="9" spans="1:41" ht="17.5" thickBot="1">
      <c r="A9" s="1261" t="s">
        <v>393</v>
      </c>
      <c r="B9" s="1261"/>
      <c r="C9" s="1261"/>
      <c r="D9" s="1261"/>
      <c r="E9" s="1261"/>
      <c r="F9" s="1261"/>
      <c r="G9" s="1261"/>
      <c r="H9" s="1261"/>
      <c r="I9" s="1261"/>
      <c r="J9" s="1261"/>
      <c r="K9" s="1261"/>
      <c r="L9" s="1261"/>
      <c r="M9" s="1261"/>
      <c r="N9" s="1261"/>
      <c r="O9" s="1261"/>
      <c r="P9" s="1261"/>
      <c r="Q9" s="1261"/>
      <c r="R9" s="1261"/>
      <c r="S9" s="1261"/>
      <c r="W9" s="1203" t="s">
        <v>1403</v>
      </c>
      <c r="X9" s="1205"/>
      <c r="Y9" s="1203"/>
      <c r="Z9" s="1204"/>
      <c r="AA9" s="1205"/>
      <c r="AB9" s="1203" t="s">
        <v>1406</v>
      </c>
      <c r="AC9" s="1205"/>
      <c r="AD9" s="1203"/>
      <c r="AE9" s="1204"/>
      <c r="AF9" s="1205"/>
      <c r="AH9" s="1224"/>
      <c r="AI9" s="1224"/>
      <c r="AJ9" s="1224"/>
      <c r="AK9" s="1224"/>
      <c r="AL9" s="1224"/>
      <c r="AM9" s="1224"/>
      <c r="AN9" s="1224"/>
      <c r="AO9" s="1224"/>
    </row>
    <row r="10" spans="1:41" ht="27.75" customHeight="1">
      <c r="A10" s="1273" t="s">
        <v>1465</v>
      </c>
      <c r="B10" s="1274"/>
      <c r="C10" s="1274"/>
      <c r="D10" s="1274"/>
      <c r="E10" s="1274"/>
      <c r="F10" s="1274"/>
      <c r="G10" s="1274"/>
      <c r="H10" s="1274"/>
      <c r="I10" s="1274"/>
      <c r="J10" s="1274"/>
      <c r="K10" s="1274"/>
      <c r="L10" s="1274"/>
      <c r="M10" s="1274"/>
      <c r="N10" s="1274"/>
      <c r="O10" s="1274"/>
      <c r="P10" s="1274"/>
      <c r="Q10" s="1274"/>
      <c r="R10" s="1274"/>
      <c r="S10" s="1275"/>
      <c r="U10" s="94"/>
      <c r="V10" s="94"/>
      <c r="W10" s="1206"/>
      <c r="X10" s="1208"/>
      <c r="Y10" s="1206"/>
      <c r="Z10" s="1207"/>
      <c r="AA10" s="1208"/>
      <c r="AB10" s="1206"/>
      <c r="AC10" s="1208"/>
      <c r="AD10" s="1206"/>
      <c r="AE10" s="1207"/>
      <c r="AF10" s="1208"/>
      <c r="AH10" s="1224"/>
      <c r="AI10" s="1224"/>
      <c r="AJ10" s="1224"/>
      <c r="AK10" s="1224"/>
      <c r="AL10" s="1224"/>
      <c r="AM10" s="1224"/>
      <c r="AN10" s="1224"/>
      <c r="AO10" s="1224"/>
    </row>
    <row r="11" spans="1:41" ht="23.25" customHeight="1">
      <c r="A11" s="1242" t="s">
        <v>1466</v>
      </c>
      <c r="B11" s="530" t="s">
        <v>1470</v>
      </c>
      <c r="C11" s="533" t="s">
        <v>1471</v>
      </c>
      <c r="D11" s="1265" t="s">
        <v>169</v>
      </c>
      <c r="E11" s="1265"/>
      <c r="F11" s="1265"/>
      <c r="G11" s="1265"/>
      <c r="H11" s="1265"/>
      <c r="I11" s="1265"/>
      <c r="J11" s="1265"/>
      <c r="K11" s="1265"/>
      <c r="L11" s="1265"/>
      <c r="M11" s="1252" t="s">
        <v>1472</v>
      </c>
      <c r="N11" s="1252"/>
      <c r="O11" s="1252"/>
      <c r="P11" s="1252"/>
      <c r="Q11" s="1265" t="s">
        <v>394</v>
      </c>
      <c r="R11" s="1265"/>
      <c r="S11" s="1266"/>
      <c r="U11" s="94"/>
      <c r="V11" s="94"/>
      <c r="W11" s="16"/>
      <c r="X11" s="16"/>
      <c r="Y11" s="16"/>
      <c r="Z11" s="16"/>
      <c r="AA11" s="16"/>
      <c r="AB11" s="16"/>
      <c r="AC11" s="16"/>
      <c r="AD11" s="16"/>
      <c r="AE11" s="14"/>
      <c r="AF11" s="14"/>
      <c r="AH11" s="1224"/>
      <c r="AI11" s="1224"/>
      <c r="AJ11" s="1224"/>
      <c r="AK11" s="1224"/>
      <c r="AL11" s="1224"/>
      <c r="AM11" s="1224"/>
      <c r="AN11" s="1224"/>
      <c r="AO11" s="1224"/>
    </row>
    <row r="12" spans="1:41" ht="16.5" customHeight="1">
      <c r="A12" s="1242"/>
      <c r="B12" s="1236" t="s">
        <v>1468</v>
      </c>
      <c r="C12" s="1236"/>
      <c r="D12" s="1267"/>
      <c r="E12" s="1268"/>
      <c r="F12" s="1268"/>
      <c r="G12" s="1268"/>
      <c r="H12" s="1268"/>
      <c r="I12" s="1268"/>
      <c r="J12" s="1268"/>
      <c r="K12" s="1268"/>
      <c r="L12" s="1268"/>
      <c r="M12" s="1268"/>
      <c r="N12" s="1268"/>
      <c r="O12" s="1268"/>
      <c r="P12" s="1268"/>
      <c r="Q12" s="1268"/>
      <c r="R12" s="1268"/>
      <c r="S12" s="1269"/>
      <c r="W12" s="14" t="s">
        <v>1407</v>
      </c>
      <c r="X12" s="14"/>
      <c r="Y12" s="14"/>
      <c r="Z12" s="14"/>
      <c r="AA12" s="14"/>
      <c r="AB12" s="14"/>
      <c r="AC12" s="14"/>
      <c r="AD12" s="14"/>
      <c r="AE12" s="14"/>
      <c r="AF12" s="14"/>
      <c r="AH12" s="1224"/>
      <c r="AI12" s="1224"/>
      <c r="AJ12" s="1224"/>
      <c r="AK12" s="1224"/>
      <c r="AL12" s="1224"/>
      <c r="AM12" s="1224"/>
      <c r="AN12" s="1224"/>
      <c r="AO12" s="1224"/>
    </row>
    <row r="13" spans="1:41">
      <c r="A13" s="1242"/>
      <c r="B13" s="1236"/>
      <c r="C13" s="1236"/>
      <c r="D13" s="1270"/>
      <c r="E13" s="1271"/>
      <c r="F13" s="1271"/>
      <c r="G13" s="1271"/>
      <c r="H13" s="1271"/>
      <c r="I13" s="1271"/>
      <c r="J13" s="1271"/>
      <c r="K13" s="1271"/>
      <c r="L13" s="1271"/>
      <c r="M13" s="1271"/>
      <c r="N13" s="1271"/>
      <c r="O13" s="1271"/>
      <c r="P13" s="1271"/>
      <c r="Q13" s="1271"/>
      <c r="R13" s="1271"/>
      <c r="S13" s="1272"/>
      <c r="W13" s="1225" t="s">
        <v>1408</v>
      </c>
      <c r="X13" s="1226"/>
      <c r="Y13" s="1226"/>
      <c r="Z13" s="1226"/>
      <c r="AA13" s="1226"/>
      <c r="AB13" s="1226"/>
      <c r="AC13" s="1226"/>
      <c r="AD13" s="1227"/>
      <c r="AE13" s="1225" t="s">
        <v>1409</v>
      </c>
      <c r="AF13" s="1227"/>
      <c r="AH13" s="1224"/>
      <c r="AI13" s="1224"/>
      <c r="AJ13" s="1224"/>
      <c r="AK13" s="1224"/>
      <c r="AL13" s="1224"/>
      <c r="AM13" s="1224"/>
      <c r="AN13" s="1224"/>
      <c r="AO13" s="1224"/>
    </row>
    <row r="14" spans="1:41" ht="27.75" customHeight="1">
      <c r="A14" s="1242"/>
      <c r="B14" s="530" t="s">
        <v>1467</v>
      </c>
      <c r="C14" s="1262" t="s">
        <v>1473</v>
      </c>
      <c r="D14" s="1262"/>
      <c r="E14" s="1262"/>
      <c r="F14" s="1262"/>
      <c r="G14" s="1262"/>
      <c r="H14" s="1262"/>
      <c r="I14" s="1262"/>
      <c r="J14" s="1262"/>
      <c r="K14" s="1262"/>
      <c r="L14" s="1262"/>
      <c r="M14" s="1262"/>
      <c r="N14" s="1262"/>
      <c r="O14" s="1262"/>
      <c r="P14" s="1262"/>
      <c r="Q14" s="1262"/>
      <c r="R14" s="1262"/>
      <c r="S14" s="1263"/>
      <c r="W14" s="1209" t="s">
        <v>1552</v>
      </c>
      <c r="X14" s="1210"/>
      <c r="Y14" s="1210"/>
      <c r="Z14" s="1210"/>
      <c r="AA14" s="1210"/>
      <c r="AB14" s="1210"/>
      <c r="AC14" s="1210"/>
      <c r="AD14" s="1211"/>
      <c r="AE14" s="1218" t="s">
        <v>1410</v>
      </c>
      <c r="AF14" s="1219"/>
      <c r="AH14" s="1224"/>
      <c r="AI14" s="1224"/>
      <c r="AJ14" s="1224"/>
      <c r="AK14" s="1224"/>
      <c r="AL14" s="1224"/>
      <c r="AM14" s="1224"/>
      <c r="AN14" s="1224"/>
      <c r="AO14" s="1224"/>
    </row>
    <row r="15" spans="1:41" ht="2.25" customHeight="1">
      <c r="A15" s="1264"/>
      <c r="B15" s="1249"/>
      <c r="C15" s="1249"/>
      <c r="D15" s="1249"/>
      <c r="E15" s="1249"/>
      <c r="F15" s="1249"/>
      <c r="G15" s="1249"/>
      <c r="H15" s="1249"/>
      <c r="I15" s="1249"/>
      <c r="J15" s="1249"/>
      <c r="K15" s="1249"/>
      <c r="L15" s="1249"/>
      <c r="M15" s="1249"/>
      <c r="N15" s="1249"/>
      <c r="O15" s="1249"/>
      <c r="P15" s="1249"/>
      <c r="Q15" s="1249"/>
      <c r="R15" s="1249"/>
      <c r="S15" s="1250"/>
      <c r="W15" s="1212"/>
      <c r="X15" s="1213"/>
      <c r="Y15" s="1213"/>
      <c r="Z15" s="1213"/>
      <c r="AA15" s="1213"/>
      <c r="AB15" s="1213"/>
      <c r="AC15" s="1213"/>
      <c r="AD15" s="1214"/>
      <c r="AE15" s="1220"/>
      <c r="AF15" s="1221"/>
      <c r="AH15" s="1224"/>
      <c r="AI15" s="1224"/>
      <c r="AJ15" s="1224"/>
      <c r="AK15" s="1224"/>
      <c r="AL15" s="1224"/>
      <c r="AM15" s="1224"/>
      <c r="AN15" s="1224"/>
      <c r="AO15" s="1224"/>
    </row>
    <row r="16" spans="1:41" ht="26.25" customHeight="1">
      <c r="A16" s="1242" t="s">
        <v>1469</v>
      </c>
      <c r="B16" s="531" t="s">
        <v>1474</v>
      </c>
      <c r="C16" s="1276" t="s">
        <v>1515</v>
      </c>
      <c r="D16" s="1276"/>
      <c r="E16" s="1276"/>
      <c r="F16" s="1276"/>
      <c r="G16" s="1276"/>
      <c r="H16" s="1276"/>
      <c r="I16" s="1276"/>
      <c r="J16" s="1276"/>
      <c r="K16" s="1276"/>
      <c r="L16" s="1276"/>
      <c r="M16" s="1276"/>
      <c r="N16" s="1276"/>
      <c r="O16" s="1276"/>
      <c r="P16" s="1276"/>
      <c r="Q16" s="1276" t="s">
        <v>1478</v>
      </c>
      <c r="R16" s="1276"/>
      <c r="S16" s="1277"/>
      <c r="W16" s="1212"/>
      <c r="X16" s="1213"/>
      <c r="Y16" s="1213"/>
      <c r="Z16" s="1213"/>
      <c r="AA16" s="1213"/>
      <c r="AB16" s="1213"/>
      <c r="AC16" s="1213"/>
      <c r="AD16" s="1214"/>
      <c r="AE16" s="1220"/>
      <c r="AF16" s="1221"/>
      <c r="AH16" s="1224"/>
      <c r="AI16" s="1224"/>
      <c r="AJ16" s="1224"/>
      <c r="AK16" s="1224"/>
      <c r="AL16" s="1224"/>
      <c r="AM16" s="1224"/>
      <c r="AN16" s="1224"/>
      <c r="AO16" s="1224"/>
    </row>
    <row r="17" spans="1:41" ht="19.5" customHeight="1">
      <c r="A17" s="1242"/>
      <c r="B17" s="531" t="s">
        <v>1475</v>
      </c>
      <c r="C17" s="1276" t="s">
        <v>1582</v>
      </c>
      <c r="D17" s="1276"/>
      <c r="E17" s="1276"/>
      <c r="F17" s="1276"/>
      <c r="G17" s="1276"/>
      <c r="H17" s="1276"/>
      <c r="I17" s="1276"/>
      <c r="J17" s="1276"/>
      <c r="K17" s="1276"/>
      <c r="L17" s="1276"/>
      <c r="M17" s="1276"/>
      <c r="N17" s="1276"/>
      <c r="O17" s="1276"/>
      <c r="P17" s="1276"/>
      <c r="Q17" s="1276"/>
      <c r="R17" s="1276"/>
      <c r="S17" s="1277"/>
      <c r="W17" s="1215"/>
      <c r="X17" s="1216"/>
      <c r="Y17" s="1216"/>
      <c r="Z17" s="1216"/>
      <c r="AA17" s="1216"/>
      <c r="AB17" s="1216"/>
      <c r="AC17" s="1216"/>
      <c r="AD17" s="1217"/>
      <c r="AE17" s="1222"/>
      <c r="AF17" s="1223"/>
      <c r="AH17" s="1224"/>
      <c r="AI17" s="1224"/>
      <c r="AJ17" s="1224"/>
      <c r="AK17" s="1224"/>
      <c r="AL17" s="1224"/>
      <c r="AM17" s="1224"/>
      <c r="AN17" s="1224"/>
      <c r="AO17" s="1224"/>
    </row>
    <row r="18" spans="1:41" ht="26.25" customHeight="1">
      <c r="A18" s="1242"/>
      <c r="B18" s="531" t="s">
        <v>1476</v>
      </c>
      <c r="C18" s="1278"/>
      <c r="D18" s="1278"/>
      <c r="E18" s="1278"/>
      <c r="F18" s="1278"/>
      <c r="G18" s="1278"/>
      <c r="H18" s="1278"/>
      <c r="I18" s="1236" t="s">
        <v>1477</v>
      </c>
      <c r="J18" s="1236"/>
      <c r="K18" s="1236"/>
      <c r="L18" s="1236"/>
      <c r="M18" s="1236"/>
      <c r="N18" s="1236"/>
      <c r="O18" s="1236"/>
      <c r="P18" s="1236"/>
      <c r="Q18" s="1255" t="s">
        <v>1514</v>
      </c>
      <c r="R18" s="1255"/>
      <c r="S18" s="1256"/>
      <c r="W18" s="1209" t="s">
        <v>1553</v>
      </c>
      <c r="X18" s="1210"/>
      <c r="Y18" s="1210"/>
      <c r="Z18" s="1210"/>
      <c r="AA18" s="1210"/>
      <c r="AB18" s="1210"/>
      <c r="AC18" s="1210"/>
      <c r="AD18" s="1211"/>
      <c r="AE18" s="1218" t="s">
        <v>1410</v>
      </c>
      <c r="AF18" s="1219"/>
      <c r="AH18" s="1224"/>
      <c r="AI18" s="1224"/>
      <c r="AJ18" s="1224"/>
      <c r="AK18" s="1224"/>
      <c r="AL18" s="1224"/>
      <c r="AM18" s="1224"/>
      <c r="AN18" s="1224"/>
      <c r="AO18" s="1224"/>
    </row>
    <row r="19" spans="1:41" ht="2.25" customHeight="1">
      <c r="A19" s="1283"/>
      <c r="B19" s="1249"/>
      <c r="C19" s="1249"/>
      <c r="D19" s="1249"/>
      <c r="E19" s="1249"/>
      <c r="F19" s="1249"/>
      <c r="G19" s="1249"/>
      <c r="H19" s="1249"/>
      <c r="I19" s="1249"/>
      <c r="J19" s="1249"/>
      <c r="K19" s="1249"/>
      <c r="L19" s="1249"/>
      <c r="M19" s="1249"/>
      <c r="N19" s="1249"/>
      <c r="O19" s="1249"/>
      <c r="P19" s="1249"/>
      <c r="Q19" s="1249"/>
      <c r="R19" s="1249"/>
      <c r="S19" s="1250"/>
      <c r="W19" s="1212"/>
      <c r="X19" s="1213"/>
      <c r="Y19" s="1213"/>
      <c r="Z19" s="1213"/>
      <c r="AA19" s="1213"/>
      <c r="AB19" s="1213"/>
      <c r="AC19" s="1213"/>
      <c r="AD19" s="1214"/>
      <c r="AE19" s="1220"/>
      <c r="AF19" s="1221"/>
    </row>
    <row r="20" spans="1:41" ht="26.25" customHeight="1">
      <c r="A20" s="1297" t="s">
        <v>1479</v>
      </c>
      <c r="B20" s="531" t="s">
        <v>1480</v>
      </c>
      <c r="C20" s="1237" t="s">
        <v>1481</v>
      </c>
      <c r="D20" s="1237"/>
      <c r="E20" s="1237"/>
      <c r="F20" s="1237"/>
      <c r="G20" s="1237"/>
      <c r="H20" s="1237"/>
      <c r="I20" s="1237"/>
      <c r="J20" s="1237"/>
      <c r="K20" s="1237"/>
      <c r="L20" s="1237"/>
      <c r="M20" s="1252" t="s">
        <v>1483</v>
      </c>
      <c r="N20" s="1252"/>
      <c r="O20" s="1252"/>
      <c r="P20" s="1252"/>
      <c r="Q20" s="1237" t="s">
        <v>64</v>
      </c>
      <c r="R20" s="1237"/>
      <c r="S20" s="1238"/>
      <c r="W20" s="1215"/>
      <c r="X20" s="1216"/>
      <c r="Y20" s="1216"/>
      <c r="Z20" s="1216"/>
      <c r="AA20" s="1216"/>
      <c r="AB20" s="1216"/>
      <c r="AC20" s="1216"/>
      <c r="AD20" s="1217"/>
      <c r="AE20" s="1222"/>
      <c r="AF20" s="1223"/>
      <c r="AH20" s="4" t="s">
        <v>1534</v>
      </c>
    </row>
    <row r="21" spans="1:41" ht="16.5" customHeight="1">
      <c r="A21" s="1298"/>
      <c r="B21" s="1236" t="s">
        <v>1482</v>
      </c>
      <c r="C21" s="1237" t="s">
        <v>64</v>
      </c>
      <c r="D21" s="1237"/>
      <c r="E21" s="1237"/>
      <c r="F21" s="1237"/>
      <c r="G21" s="1237"/>
      <c r="H21" s="1237"/>
      <c r="I21" s="1237"/>
      <c r="J21" s="1237"/>
      <c r="K21" s="1237"/>
      <c r="L21" s="1237"/>
      <c r="M21" s="1237"/>
      <c r="N21" s="1284" t="s">
        <v>1490</v>
      </c>
      <c r="O21" s="1284"/>
      <c r="P21" s="1284"/>
      <c r="Q21" s="1285"/>
      <c r="R21" s="1286"/>
      <c r="S21" s="1287"/>
      <c r="W21" s="1209" t="s">
        <v>1554</v>
      </c>
      <c r="X21" s="1210"/>
      <c r="Y21" s="1210"/>
      <c r="Z21" s="1210"/>
      <c r="AA21" s="1210"/>
      <c r="AB21" s="1210"/>
      <c r="AC21" s="1210"/>
      <c r="AD21" s="1211"/>
      <c r="AE21" s="1218" t="s">
        <v>1410</v>
      </c>
      <c r="AF21" s="1219"/>
      <c r="AH21" s="1224" t="s">
        <v>1535</v>
      </c>
      <c r="AI21" s="1224"/>
      <c r="AJ21" s="1224"/>
      <c r="AK21" s="1224"/>
      <c r="AL21" s="1224"/>
      <c r="AM21" s="1224"/>
      <c r="AN21" s="1224"/>
      <c r="AO21" s="1224"/>
    </row>
    <row r="22" spans="1:41" ht="22.5" customHeight="1">
      <c r="A22" s="1298"/>
      <c r="B22" s="1236"/>
      <c r="C22" s="1237"/>
      <c r="D22" s="1237"/>
      <c r="E22" s="1237"/>
      <c r="F22" s="1237"/>
      <c r="G22" s="1237"/>
      <c r="H22" s="1237"/>
      <c r="I22" s="1237"/>
      <c r="J22" s="1237"/>
      <c r="K22" s="1237"/>
      <c r="L22" s="1237"/>
      <c r="M22" s="1237"/>
      <c r="N22" s="1284" t="s">
        <v>1489</v>
      </c>
      <c r="O22" s="1284"/>
      <c r="P22" s="1284"/>
      <c r="Q22" s="1251" t="s">
        <v>1484</v>
      </c>
      <c r="R22" s="1251"/>
      <c r="S22" s="1253"/>
      <c r="W22" s="1212"/>
      <c r="X22" s="1213"/>
      <c r="Y22" s="1213"/>
      <c r="Z22" s="1213"/>
      <c r="AA22" s="1213"/>
      <c r="AB22" s="1213"/>
      <c r="AC22" s="1213"/>
      <c r="AD22" s="1214"/>
      <c r="AE22" s="1220"/>
      <c r="AF22" s="1221"/>
      <c r="AH22" s="1224"/>
      <c r="AI22" s="1224"/>
      <c r="AJ22" s="1224"/>
      <c r="AK22" s="1224"/>
      <c r="AL22" s="1224"/>
      <c r="AM22" s="1224"/>
      <c r="AN22" s="1224"/>
      <c r="AO22" s="1224"/>
    </row>
    <row r="23" spans="1:41" ht="16.5" customHeight="1">
      <c r="A23" s="1298"/>
      <c r="B23" s="1288" t="s">
        <v>1485</v>
      </c>
      <c r="C23" s="1246" t="s">
        <v>395</v>
      </c>
      <c r="D23" s="1246"/>
      <c r="E23" s="1246"/>
      <c r="F23" s="1237"/>
      <c r="G23" s="1237"/>
      <c r="H23" s="1237"/>
      <c r="I23" s="1237"/>
      <c r="J23" s="1237"/>
      <c r="K23" s="1237"/>
      <c r="L23" s="1237"/>
      <c r="M23" s="1237"/>
      <c r="N23" s="1237"/>
      <c r="O23" s="1237"/>
      <c r="P23" s="1237"/>
      <c r="Q23" s="1237"/>
      <c r="R23" s="1237"/>
      <c r="S23" s="1238"/>
      <c r="W23" s="1212"/>
      <c r="X23" s="1213"/>
      <c r="Y23" s="1213"/>
      <c r="Z23" s="1213"/>
      <c r="AA23" s="1213"/>
      <c r="AB23" s="1213"/>
      <c r="AC23" s="1213"/>
      <c r="AD23" s="1214"/>
      <c r="AE23" s="1220"/>
      <c r="AF23" s="1221"/>
      <c r="AH23" s="1224"/>
      <c r="AI23" s="1224"/>
      <c r="AJ23" s="1224"/>
      <c r="AK23" s="1224"/>
      <c r="AL23" s="1224"/>
      <c r="AM23" s="1224"/>
      <c r="AN23" s="1224"/>
      <c r="AO23" s="1224"/>
    </row>
    <row r="24" spans="1:41" ht="12.75" customHeight="1">
      <c r="A24" s="1298"/>
      <c r="B24" s="1289"/>
      <c r="C24" s="1291" t="s">
        <v>1486</v>
      </c>
      <c r="D24" s="1292"/>
      <c r="E24" s="1293"/>
      <c r="F24" s="1237"/>
      <c r="G24" s="1237"/>
      <c r="H24" s="1237"/>
      <c r="I24" s="1237"/>
      <c r="J24" s="1237"/>
      <c r="K24" s="1237"/>
      <c r="L24" s="1237"/>
      <c r="M24" s="1237"/>
      <c r="N24" s="1237"/>
      <c r="O24" s="1237"/>
      <c r="P24" s="1237"/>
      <c r="Q24" s="1237"/>
      <c r="R24" s="1237"/>
      <c r="S24" s="1238"/>
      <c r="W24" s="1212"/>
      <c r="X24" s="1213"/>
      <c r="Y24" s="1213"/>
      <c r="Z24" s="1213"/>
      <c r="AA24" s="1213"/>
      <c r="AB24" s="1213"/>
      <c r="AC24" s="1213"/>
      <c r="AD24" s="1214"/>
      <c r="AE24" s="1220"/>
      <c r="AF24" s="1221"/>
      <c r="AH24" s="1224"/>
      <c r="AI24" s="1224"/>
      <c r="AJ24" s="1224"/>
      <c r="AK24" s="1224"/>
      <c r="AL24" s="1224"/>
      <c r="AM24" s="1224"/>
      <c r="AN24" s="1224"/>
      <c r="AO24" s="1224"/>
    </row>
    <row r="25" spans="1:41" ht="12.75" customHeight="1">
      <c r="A25" s="1298"/>
      <c r="B25" s="1289"/>
      <c r="C25" s="1294"/>
      <c r="D25" s="1295"/>
      <c r="E25" s="1296"/>
      <c r="F25" s="1237"/>
      <c r="G25" s="1237"/>
      <c r="H25" s="1237"/>
      <c r="I25" s="1237"/>
      <c r="J25" s="1237"/>
      <c r="K25" s="1237"/>
      <c r="L25" s="1237"/>
      <c r="M25" s="1237"/>
      <c r="N25" s="1237"/>
      <c r="O25" s="1237"/>
      <c r="P25" s="1237"/>
      <c r="Q25" s="1237"/>
      <c r="R25" s="1237"/>
      <c r="S25" s="1238"/>
      <c r="W25" s="1212"/>
      <c r="X25" s="1213"/>
      <c r="Y25" s="1213"/>
      <c r="Z25" s="1213"/>
      <c r="AA25" s="1213"/>
      <c r="AB25" s="1213"/>
      <c r="AC25" s="1213"/>
      <c r="AD25" s="1214"/>
      <c r="AE25" s="1220"/>
      <c r="AF25" s="1221"/>
      <c r="AH25" s="16"/>
      <c r="AI25" s="16"/>
      <c r="AJ25" s="16"/>
      <c r="AK25" s="16"/>
      <c r="AL25" s="16"/>
      <c r="AM25" s="16"/>
      <c r="AN25" s="16"/>
      <c r="AO25" s="16"/>
    </row>
    <row r="26" spans="1:41" ht="24" customHeight="1">
      <c r="A26" s="1298"/>
      <c r="B26" s="1289"/>
      <c r="C26" s="1246" t="s">
        <v>396</v>
      </c>
      <c r="D26" s="1246"/>
      <c r="E26" s="1246"/>
      <c r="F26" s="535"/>
      <c r="G26" s="534" t="s">
        <v>64</v>
      </c>
      <c r="H26" s="534"/>
      <c r="I26" s="535"/>
      <c r="J26" s="535"/>
      <c r="K26" s="535"/>
      <c r="L26" s="535"/>
      <c r="M26" s="535"/>
      <c r="N26" s="535" t="s">
        <v>64</v>
      </c>
      <c r="O26" s="535" t="s">
        <v>64</v>
      </c>
      <c r="P26" s="535" t="s">
        <v>64</v>
      </c>
      <c r="Q26" s="532" t="s">
        <v>1487</v>
      </c>
      <c r="R26" s="1251" t="s">
        <v>1488</v>
      </c>
      <c r="S26" s="1254"/>
      <c r="W26" s="1212"/>
      <c r="X26" s="1213"/>
      <c r="Y26" s="1213"/>
      <c r="Z26" s="1213"/>
      <c r="AA26" s="1213"/>
      <c r="AB26" s="1213"/>
      <c r="AC26" s="1213"/>
      <c r="AD26" s="1214"/>
      <c r="AE26" s="1220"/>
      <c r="AF26" s="1221"/>
      <c r="AH26" s="4" t="s">
        <v>1536</v>
      </c>
      <c r="AI26" s="16"/>
      <c r="AJ26" s="16"/>
      <c r="AK26" s="16"/>
      <c r="AL26" s="16"/>
      <c r="AM26" s="16"/>
      <c r="AN26" s="16"/>
      <c r="AO26" s="16"/>
    </row>
    <row r="27" spans="1:41" ht="17.5" thickBot="1">
      <c r="A27" s="1299"/>
      <c r="B27" s="1290"/>
      <c r="C27" s="1246" t="s">
        <v>397</v>
      </c>
      <c r="D27" s="1246"/>
      <c r="E27" s="1246"/>
      <c r="F27" s="1255"/>
      <c r="G27" s="1255"/>
      <c r="H27" s="1255"/>
      <c r="I27" s="1255"/>
      <c r="J27" s="1255"/>
      <c r="K27" s="1255"/>
      <c r="L27" s="1255"/>
      <c r="M27" s="1255"/>
      <c r="N27" s="1255"/>
      <c r="O27" s="1255"/>
      <c r="P27" s="1255"/>
      <c r="Q27" s="1255"/>
      <c r="R27" s="1255"/>
      <c r="S27" s="1256"/>
      <c r="W27" s="1215"/>
      <c r="X27" s="1216"/>
      <c r="Y27" s="1216"/>
      <c r="Z27" s="1216"/>
      <c r="AA27" s="1216"/>
      <c r="AB27" s="1216"/>
      <c r="AC27" s="1216"/>
      <c r="AD27" s="1217"/>
      <c r="AE27" s="1222"/>
      <c r="AF27" s="1223"/>
      <c r="AH27" s="1224" t="s">
        <v>1537</v>
      </c>
      <c r="AI27" s="1224"/>
      <c r="AJ27" s="1224"/>
      <c r="AK27" s="1224"/>
      <c r="AL27" s="1224"/>
      <c r="AM27" s="1224"/>
      <c r="AN27" s="1224"/>
      <c r="AO27" s="1224"/>
    </row>
    <row r="28" spans="1:41" ht="17.25" customHeight="1" thickTop="1">
      <c r="A28" s="1248" t="s">
        <v>1491</v>
      </c>
      <c r="B28" s="1249"/>
      <c r="C28" s="1249"/>
      <c r="D28" s="1249"/>
      <c r="E28" s="1249"/>
      <c r="F28" s="1249"/>
      <c r="G28" s="1249"/>
      <c r="H28" s="1249"/>
      <c r="I28" s="1249"/>
      <c r="J28" s="1249"/>
      <c r="K28" s="1249"/>
      <c r="L28" s="1249"/>
      <c r="M28" s="1249"/>
      <c r="N28" s="1249"/>
      <c r="O28" s="1249"/>
      <c r="P28" s="1249"/>
      <c r="Q28" s="1249"/>
      <c r="R28" s="1249"/>
      <c r="S28" s="1250"/>
      <c r="W28" s="1209" t="s">
        <v>1555</v>
      </c>
      <c r="X28" s="1210"/>
      <c r="Y28" s="1210"/>
      <c r="Z28" s="1210"/>
      <c r="AA28" s="1210"/>
      <c r="AB28" s="1210"/>
      <c r="AC28" s="1210"/>
      <c r="AD28" s="1211"/>
      <c r="AE28" s="1218" t="s">
        <v>1410</v>
      </c>
      <c r="AF28" s="1219"/>
      <c r="AH28" s="1224"/>
      <c r="AI28" s="1224"/>
      <c r="AJ28" s="1224"/>
      <c r="AK28" s="1224"/>
      <c r="AL28" s="1224"/>
      <c r="AM28" s="1224"/>
      <c r="AN28" s="1224"/>
      <c r="AO28" s="1224"/>
    </row>
    <row r="29" spans="1:41" ht="25.5" customHeight="1">
      <c r="A29" s="1242" t="s">
        <v>1492</v>
      </c>
      <c r="B29" s="531" t="s">
        <v>1493</v>
      </c>
      <c r="C29" s="1251" t="s">
        <v>1496</v>
      </c>
      <c r="D29" s="1251"/>
      <c r="E29" s="1251"/>
      <c r="F29" s="1251"/>
      <c r="G29" s="1251"/>
      <c r="H29" s="1251"/>
      <c r="I29" s="1252" t="s">
        <v>398</v>
      </c>
      <c r="J29" s="1252"/>
      <c r="K29" s="1252"/>
      <c r="L29" s="1252"/>
      <c r="M29" s="1252"/>
      <c r="N29" s="1252"/>
      <c r="O29" s="1252"/>
      <c r="P29" s="1252"/>
      <c r="Q29" s="1251" t="s">
        <v>1497</v>
      </c>
      <c r="R29" s="1251"/>
      <c r="S29" s="1253"/>
      <c r="W29" s="1215"/>
      <c r="X29" s="1216"/>
      <c r="Y29" s="1216"/>
      <c r="Z29" s="1216"/>
      <c r="AA29" s="1216"/>
      <c r="AB29" s="1216"/>
      <c r="AC29" s="1216"/>
      <c r="AD29" s="1217"/>
      <c r="AE29" s="1222"/>
      <c r="AF29" s="1223"/>
      <c r="AH29" s="1224"/>
      <c r="AI29" s="1224"/>
      <c r="AJ29" s="1224"/>
      <c r="AK29" s="1224"/>
      <c r="AL29" s="1224"/>
      <c r="AM29" s="1224"/>
      <c r="AN29" s="1224"/>
      <c r="AO29" s="1224"/>
    </row>
    <row r="30" spans="1:41" ht="16.5" customHeight="1">
      <c r="A30" s="1242"/>
      <c r="B30" s="1236" t="s">
        <v>1494</v>
      </c>
      <c r="C30" s="1244" t="s">
        <v>1526</v>
      </c>
      <c r="D30" s="1244"/>
      <c r="E30" s="1244"/>
      <c r="F30" s="1244"/>
      <c r="G30" s="1244"/>
      <c r="H30" s="1244"/>
      <c r="I30" s="1244"/>
      <c r="J30" s="1244"/>
      <c r="K30" s="1244"/>
      <c r="L30" s="1244"/>
      <c r="M30" s="1244"/>
      <c r="N30" s="1244"/>
      <c r="O30" s="1244"/>
      <c r="P30" s="1244"/>
      <c r="Q30" s="1244"/>
      <c r="R30" s="1244"/>
      <c r="S30" s="1245"/>
      <c r="W30" s="16"/>
      <c r="X30" s="16"/>
      <c r="Y30" s="16"/>
      <c r="Z30" s="16"/>
      <c r="AA30" s="16"/>
      <c r="AB30" s="16"/>
      <c r="AC30" s="16"/>
      <c r="AD30" s="16"/>
      <c r="AE30" s="16"/>
      <c r="AF30" s="16"/>
      <c r="AH30" s="1224"/>
      <c r="AI30" s="1224"/>
      <c r="AJ30" s="1224"/>
      <c r="AK30" s="1224"/>
      <c r="AL30" s="1224"/>
      <c r="AM30" s="1224"/>
      <c r="AN30" s="1224"/>
      <c r="AO30" s="1224"/>
    </row>
    <row r="31" spans="1:41" ht="16.5" customHeight="1">
      <c r="A31" s="1242"/>
      <c r="B31" s="1236"/>
      <c r="C31" s="1244" t="s">
        <v>1527</v>
      </c>
      <c r="D31" s="1244"/>
      <c r="E31" s="1244"/>
      <c r="F31" s="1244"/>
      <c r="G31" s="1244"/>
      <c r="H31" s="1244"/>
      <c r="I31" s="1244"/>
      <c r="J31" s="1244"/>
      <c r="K31" s="1244"/>
      <c r="L31" s="1244"/>
      <c r="M31" s="1244"/>
      <c r="N31" s="1244"/>
      <c r="O31" s="1244"/>
      <c r="P31" s="1244"/>
      <c r="Q31" s="1244"/>
      <c r="R31" s="1244"/>
      <c r="S31" s="1245"/>
      <c r="W31" s="1213" t="s">
        <v>1556</v>
      </c>
      <c r="X31" s="1213"/>
      <c r="Y31" s="1213"/>
      <c r="Z31" s="1213"/>
      <c r="AA31" s="1213"/>
      <c r="AB31" s="1213"/>
      <c r="AC31" s="1213"/>
      <c r="AD31" s="1213"/>
      <c r="AE31" s="1213"/>
      <c r="AF31" s="1213"/>
    </row>
    <row r="32" spans="1:41" ht="16.5" customHeight="1" thickBot="1">
      <c r="A32" s="1243"/>
      <c r="B32" s="540" t="s">
        <v>1495</v>
      </c>
      <c r="C32" s="1239" t="s">
        <v>64</v>
      </c>
      <c r="D32" s="1239"/>
      <c r="E32" s="1239"/>
      <c r="F32" s="1239"/>
      <c r="G32" s="1239"/>
      <c r="H32" s="1239"/>
      <c r="I32" s="1240" t="s">
        <v>399</v>
      </c>
      <c r="J32" s="1240"/>
      <c r="K32" s="1240"/>
      <c r="L32" s="1240"/>
      <c r="M32" s="1239" t="s">
        <v>64</v>
      </c>
      <c r="N32" s="1239"/>
      <c r="O32" s="1239"/>
      <c r="P32" s="1239"/>
      <c r="Q32" s="1239"/>
      <c r="R32" s="541" t="s">
        <v>400</v>
      </c>
      <c r="S32" s="542" t="s">
        <v>64</v>
      </c>
      <c r="W32" s="1213"/>
      <c r="X32" s="1213"/>
      <c r="Y32" s="1213"/>
      <c r="Z32" s="1213"/>
      <c r="AA32" s="1213"/>
      <c r="AB32" s="1213"/>
      <c r="AC32" s="1213"/>
      <c r="AD32" s="1213"/>
      <c r="AE32" s="1213"/>
      <c r="AF32" s="1213"/>
      <c r="AH32" s="4" t="s">
        <v>1538</v>
      </c>
    </row>
    <row r="33" spans="1:41" ht="5.25" customHeight="1" thickBot="1">
      <c r="A33" s="536"/>
      <c r="B33" s="536"/>
      <c r="C33" s="1241"/>
      <c r="D33" s="1241"/>
      <c r="E33" s="1241"/>
      <c r="F33" s="1241"/>
      <c r="G33" s="1241"/>
      <c r="H33" s="1241"/>
      <c r="I33" s="1241"/>
      <c r="J33" s="1241"/>
      <c r="K33" s="1241"/>
      <c r="L33" s="1241"/>
      <c r="M33" s="1241"/>
      <c r="N33" s="1241"/>
      <c r="O33" s="1241"/>
      <c r="P33" s="1241"/>
      <c r="Q33" s="1241"/>
      <c r="R33" s="539"/>
      <c r="S33" s="539"/>
      <c r="W33" s="559"/>
      <c r="X33" s="559"/>
      <c r="Y33" s="559"/>
      <c r="Z33" s="559"/>
      <c r="AA33" s="559"/>
      <c r="AB33" s="559"/>
      <c r="AC33" s="559"/>
      <c r="AD33" s="559"/>
      <c r="AE33" s="19"/>
      <c r="AF33" s="19"/>
      <c r="AH33" s="1209" t="s">
        <v>1539</v>
      </c>
      <c r="AI33" s="1210"/>
      <c r="AJ33" s="1210"/>
      <c r="AK33" s="1210"/>
      <c r="AL33" s="1210"/>
      <c r="AM33" s="1210"/>
      <c r="AN33" s="1210"/>
      <c r="AO33" s="1211"/>
    </row>
    <row r="34" spans="1:41">
      <c r="A34" s="1232" t="s">
        <v>1504</v>
      </c>
      <c r="B34" s="1233"/>
      <c r="C34" s="1233"/>
      <c r="D34" s="1233"/>
      <c r="E34" s="1233"/>
      <c r="F34" s="1233"/>
      <c r="G34" s="1233"/>
      <c r="H34" s="1233"/>
      <c r="I34" s="1233"/>
      <c r="J34" s="1233"/>
      <c r="K34" s="1233"/>
      <c r="L34" s="1233"/>
      <c r="M34" s="1233"/>
      <c r="N34" s="1233"/>
      <c r="O34" s="1233"/>
      <c r="P34" s="1233"/>
      <c r="Q34" s="1233"/>
      <c r="R34" s="1233"/>
      <c r="S34" s="1234"/>
      <c r="V34" t="s">
        <v>1399</v>
      </c>
      <c r="W34" s="1004" t="s">
        <v>1557</v>
      </c>
      <c r="X34" s="1004"/>
      <c r="Y34" s="1004"/>
      <c r="Z34" s="1004"/>
      <c r="AA34" s="1004"/>
      <c r="AB34" s="1004"/>
      <c r="AC34" s="1004"/>
      <c r="AD34" s="1004"/>
      <c r="AE34" s="1004"/>
      <c r="AF34" s="1004"/>
      <c r="AH34" s="1212"/>
      <c r="AI34" s="1213"/>
      <c r="AJ34" s="1213"/>
      <c r="AK34" s="1213"/>
      <c r="AL34" s="1213"/>
      <c r="AM34" s="1213"/>
      <c r="AN34" s="1213"/>
      <c r="AO34" s="1214"/>
    </row>
    <row r="35" spans="1:41" ht="25.5" customHeight="1">
      <c r="A35" s="1235" t="s">
        <v>1505</v>
      </c>
      <c r="B35" s="1236"/>
      <c r="C35" s="1284" t="s">
        <v>1529</v>
      </c>
      <c r="D35" s="1284"/>
      <c r="E35" s="1284"/>
      <c r="F35" s="1284"/>
      <c r="G35" s="1284"/>
      <c r="H35" s="1284"/>
      <c r="I35" s="1284"/>
      <c r="J35" s="1284"/>
      <c r="K35" s="1284"/>
      <c r="L35" s="1284"/>
      <c r="M35" s="1284" t="s">
        <v>1528</v>
      </c>
      <c r="N35" s="1284"/>
      <c r="O35" s="1284"/>
      <c r="P35" s="1284"/>
      <c r="Q35" s="1284"/>
      <c r="R35" s="1284"/>
      <c r="S35" s="1301"/>
      <c r="W35" s="1004"/>
      <c r="X35" s="1004"/>
      <c r="Y35" s="1004"/>
      <c r="Z35" s="1004"/>
      <c r="AA35" s="1004"/>
      <c r="AB35" s="1004"/>
      <c r="AC35" s="1004"/>
      <c r="AD35" s="1004"/>
      <c r="AE35" s="1004"/>
      <c r="AF35" s="1004"/>
      <c r="AH35" s="1212"/>
      <c r="AI35" s="1213"/>
      <c r="AJ35" s="1213"/>
      <c r="AK35" s="1213"/>
      <c r="AL35" s="1213"/>
      <c r="AM35" s="1213"/>
      <c r="AN35" s="1213"/>
      <c r="AO35" s="1214"/>
    </row>
    <row r="36" spans="1:41" ht="27.75" customHeight="1">
      <c r="A36" s="1235" t="s">
        <v>1506</v>
      </c>
      <c r="B36" s="1236"/>
      <c r="C36" s="1303" t="s">
        <v>1511</v>
      </c>
      <c r="D36" s="1303"/>
      <c r="E36" s="1303"/>
      <c r="F36" s="1303"/>
      <c r="G36" s="1303"/>
      <c r="H36" s="1303"/>
      <c r="I36" s="1303" t="s">
        <v>1512</v>
      </c>
      <c r="J36" s="1303"/>
      <c r="K36" s="1303"/>
      <c r="L36" s="1303"/>
      <c r="M36" s="1303"/>
      <c r="N36" s="1303"/>
      <c r="O36" s="1303"/>
      <c r="P36" s="1303"/>
      <c r="Q36" s="1303" t="s">
        <v>1513</v>
      </c>
      <c r="R36" s="1303"/>
      <c r="S36" s="1304"/>
      <c r="W36" s="1213" t="s">
        <v>1558</v>
      </c>
      <c r="X36" s="1213"/>
      <c r="Y36" s="1213"/>
      <c r="Z36" s="1213"/>
      <c r="AA36" s="1213"/>
      <c r="AB36" s="1213"/>
      <c r="AC36" s="1213"/>
      <c r="AD36" s="1213"/>
      <c r="AE36" s="1213"/>
      <c r="AF36" s="1213"/>
      <c r="AH36" s="1212"/>
      <c r="AI36" s="1213"/>
      <c r="AJ36" s="1213"/>
      <c r="AK36" s="1213"/>
      <c r="AL36" s="1213"/>
      <c r="AM36" s="1213"/>
      <c r="AN36" s="1213"/>
      <c r="AO36" s="1214"/>
    </row>
    <row r="37" spans="1:41" ht="25.5" customHeight="1">
      <c r="A37" s="1235" t="s">
        <v>1507</v>
      </c>
      <c r="B37" s="1236"/>
      <c r="C37" s="1252" t="s">
        <v>1508</v>
      </c>
      <c r="D37" s="1252"/>
      <c r="E37" s="1252"/>
      <c r="F37" s="1252"/>
      <c r="G37" s="1252"/>
      <c r="H37" s="1252"/>
      <c r="I37" s="1252" t="s">
        <v>1509</v>
      </c>
      <c r="J37" s="1252"/>
      <c r="K37" s="1252"/>
      <c r="L37" s="1252"/>
      <c r="M37" s="1252"/>
      <c r="N37" s="1252"/>
      <c r="O37" s="1252"/>
      <c r="P37" s="1252"/>
      <c r="Q37" s="1252" t="s">
        <v>1510</v>
      </c>
      <c r="R37" s="1252"/>
      <c r="S37" s="1302"/>
      <c r="W37" s="19" t="s">
        <v>1411</v>
      </c>
      <c r="X37" s="560"/>
      <c r="Y37" s="560"/>
      <c r="Z37" s="560"/>
      <c r="AA37" s="560"/>
      <c r="AB37" s="560"/>
      <c r="AC37" s="560"/>
      <c r="AD37" s="560"/>
      <c r="AE37" s="560"/>
      <c r="AF37" s="560"/>
      <c r="AH37" s="1215"/>
      <c r="AI37" s="1216"/>
      <c r="AJ37" s="1216"/>
      <c r="AK37" s="1216"/>
      <c r="AL37" s="1216"/>
      <c r="AM37" s="1216"/>
      <c r="AN37" s="1216"/>
      <c r="AO37" s="1217"/>
    </row>
    <row r="38" spans="1:41" ht="13.5" customHeight="1">
      <c r="A38" s="1235"/>
      <c r="B38" s="1236"/>
      <c r="C38" s="1303" t="s">
        <v>1530</v>
      </c>
      <c r="D38" s="1303"/>
      <c r="E38" s="1303"/>
      <c r="F38" s="1303"/>
      <c r="G38" s="1303"/>
      <c r="H38" s="1303"/>
      <c r="I38" s="1303" t="s">
        <v>1531</v>
      </c>
      <c r="J38" s="1303"/>
      <c r="K38" s="1303"/>
      <c r="L38" s="1303"/>
      <c r="M38" s="1303"/>
      <c r="N38" s="1303"/>
      <c r="O38" s="1303"/>
      <c r="P38" s="1303"/>
      <c r="Q38" s="1252" t="s">
        <v>1518</v>
      </c>
      <c r="R38" s="1303" t="s">
        <v>1516</v>
      </c>
      <c r="S38" s="1304"/>
      <c r="W38" s="17"/>
      <c r="X38" s="17"/>
      <c r="Y38" s="17"/>
      <c r="Z38" s="17"/>
      <c r="AA38" s="17"/>
      <c r="AB38" s="17"/>
      <c r="AC38" s="17"/>
      <c r="AD38" s="17"/>
      <c r="AE38" s="17"/>
      <c r="AF38" s="17"/>
      <c r="AH38" s="552"/>
      <c r="AI38" s="552"/>
      <c r="AJ38" s="552"/>
      <c r="AK38" s="552"/>
      <c r="AL38" s="552"/>
      <c r="AM38" s="552"/>
      <c r="AN38" s="552"/>
      <c r="AO38" s="552"/>
    </row>
    <row r="39" spans="1:41" ht="13.5" customHeight="1">
      <c r="A39" s="1235"/>
      <c r="B39" s="1236"/>
      <c r="C39" s="1303"/>
      <c r="D39" s="1303"/>
      <c r="E39" s="1303"/>
      <c r="F39" s="1303"/>
      <c r="G39" s="1303"/>
      <c r="H39" s="1303"/>
      <c r="I39" s="1303"/>
      <c r="J39" s="1303"/>
      <c r="K39" s="1303"/>
      <c r="L39" s="1303"/>
      <c r="M39" s="1303"/>
      <c r="N39" s="1303"/>
      <c r="O39" s="1303"/>
      <c r="P39" s="1303"/>
      <c r="Q39" s="1252"/>
      <c r="R39" s="1303" t="s">
        <v>1517</v>
      </c>
      <c r="S39" s="1304"/>
      <c r="X39" s="14"/>
      <c r="Y39" s="14"/>
      <c r="Z39" s="14"/>
      <c r="AA39" s="14"/>
      <c r="AB39" s="14"/>
      <c r="AC39" s="14"/>
      <c r="AD39" s="14"/>
      <c r="AE39" s="960">
        <f ca="1">TODAY()</f>
        <v>46132</v>
      </c>
      <c r="AF39" s="960"/>
      <c r="AH39" s="4" t="s">
        <v>1540</v>
      </c>
      <c r="AI39" s="16"/>
      <c r="AJ39" s="16"/>
      <c r="AK39" s="16"/>
      <c r="AL39" s="16"/>
      <c r="AM39" s="16"/>
      <c r="AN39" s="16"/>
      <c r="AO39" s="16"/>
    </row>
    <row r="40" spans="1:41" ht="33.75" customHeight="1">
      <c r="A40" s="543"/>
      <c r="B40" s="1279" t="s">
        <v>1521</v>
      </c>
      <c r="C40" s="1280"/>
      <c r="D40" s="1280"/>
      <c r="E40" s="1280"/>
      <c r="F40" s="1280"/>
      <c r="G40" s="1280"/>
      <c r="H40" s="1280"/>
      <c r="I40" s="1280"/>
      <c r="J40" s="1280"/>
      <c r="K40" s="1280"/>
      <c r="L40" s="1280"/>
      <c r="M40" s="1280"/>
      <c r="N40" s="1280"/>
      <c r="O40" s="1280"/>
      <c r="P40" s="1280"/>
      <c r="Q40" s="1280"/>
      <c r="R40" s="1280"/>
      <c r="S40" s="544"/>
      <c r="W40" s="14"/>
      <c r="X40" s="14"/>
      <c r="Y40" s="14"/>
      <c r="Z40" s="14"/>
      <c r="AA40" s="14"/>
      <c r="AB40" s="14"/>
      <c r="AC40" s="14"/>
      <c r="AD40" s="14"/>
      <c r="AE40" s="14"/>
      <c r="AF40" s="14"/>
      <c r="AH40" s="1000" t="s">
        <v>1542</v>
      </c>
      <c r="AI40" s="1001"/>
      <c r="AJ40" s="1001"/>
      <c r="AK40" s="1001"/>
      <c r="AL40" s="1001"/>
      <c r="AM40" s="1001"/>
      <c r="AN40" s="1001"/>
      <c r="AO40" s="1002"/>
    </row>
    <row r="41" spans="1:41" ht="24.75" customHeight="1">
      <c r="A41" s="543"/>
      <c r="B41" s="1281" t="s">
        <v>1525</v>
      </c>
      <c r="C41" s="1281"/>
      <c r="D41" s="1281"/>
      <c r="E41" s="1281"/>
      <c r="F41" s="1281"/>
      <c r="G41" s="1281"/>
      <c r="H41" s="1281"/>
      <c r="I41" s="1282" t="s">
        <v>1522</v>
      </c>
      <c r="J41" s="1282"/>
      <c r="K41" s="1282"/>
      <c r="M41" s="545"/>
      <c r="N41" s="546" t="s">
        <v>1523</v>
      </c>
      <c r="O41" s="545"/>
      <c r="P41" s="545"/>
      <c r="Q41" s="545"/>
      <c r="R41" s="545"/>
      <c r="S41" s="547"/>
      <c r="W41" s="85"/>
      <c r="X41" s="85"/>
      <c r="Y41" s="85"/>
      <c r="Z41" s="85"/>
      <c r="AA41" s="85"/>
      <c r="AB41" s="85"/>
      <c r="AC41" s="85"/>
      <c r="AD41" s="85"/>
      <c r="AE41" s="85"/>
      <c r="AF41" s="85"/>
      <c r="AH41" s="1003"/>
      <c r="AI41" s="1004"/>
      <c r="AJ41" s="1004"/>
      <c r="AK41" s="1004"/>
      <c r="AL41" s="1004"/>
      <c r="AM41" s="1004"/>
      <c r="AN41" s="1004"/>
      <c r="AO41" s="1005"/>
    </row>
    <row r="42" spans="1:41" ht="24.75" customHeight="1">
      <c r="A42" s="543"/>
      <c r="B42" s="1281"/>
      <c r="C42" s="1281"/>
      <c r="D42" s="1281"/>
      <c r="E42" s="1281"/>
      <c r="F42" s="1281"/>
      <c r="G42" s="1281"/>
      <c r="H42" s="1281"/>
      <c r="I42" s="1282"/>
      <c r="J42" s="1282"/>
      <c r="K42" s="1282"/>
      <c r="M42" s="545"/>
      <c r="N42" s="545"/>
      <c r="O42" s="545"/>
      <c r="P42" s="545"/>
      <c r="Q42" s="545"/>
      <c r="R42" s="548" t="s">
        <v>1524</v>
      </c>
      <c r="S42" s="544"/>
      <c r="W42" s="4"/>
      <c r="X42" s="4"/>
      <c r="Y42" s="4"/>
      <c r="Z42" s="4"/>
      <c r="AA42" s="4"/>
      <c r="AC42" s="553" t="s">
        <v>272</v>
      </c>
      <c r="AD42" s="1228" t="s">
        <v>1532</v>
      </c>
      <c r="AE42" s="1228"/>
      <c r="AF42" s="1228"/>
      <c r="AH42" s="1003"/>
      <c r="AI42" s="1004"/>
      <c r="AJ42" s="1004"/>
      <c r="AK42" s="1004"/>
      <c r="AL42" s="1004"/>
      <c r="AM42" s="1004"/>
      <c r="AN42" s="1004"/>
      <c r="AO42" s="1005"/>
    </row>
    <row r="43" spans="1:41" ht="7.5" customHeight="1" thickBot="1">
      <c r="A43" s="549"/>
      <c r="B43" s="550"/>
      <c r="C43" s="550"/>
      <c r="D43" s="550"/>
      <c r="E43" s="550"/>
      <c r="F43" s="550"/>
      <c r="G43" s="550"/>
      <c r="H43" s="550"/>
      <c r="I43" s="550"/>
      <c r="J43" s="550"/>
      <c r="K43" s="550"/>
      <c r="L43" s="550"/>
      <c r="M43" s="550"/>
      <c r="N43" s="550"/>
      <c r="O43" s="550"/>
      <c r="P43" s="550"/>
      <c r="Q43" s="550"/>
      <c r="R43" s="550"/>
      <c r="S43" s="551"/>
      <c r="W43" s="4"/>
      <c r="X43" s="4"/>
      <c r="Y43" s="4"/>
      <c r="Z43" s="4"/>
      <c r="AA43" s="4"/>
      <c r="AB43" s="4"/>
      <c r="AC43" s="4"/>
      <c r="AD43" s="49"/>
      <c r="AE43" s="49"/>
      <c r="AF43" s="49"/>
      <c r="AH43" s="1003"/>
      <c r="AI43" s="1004"/>
      <c r="AJ43" s="1004"/>
      <c r="AK43" s="1004"/>
      <c r="AL43" s="1004"/>
      <c r="AM43" s="1004"/>
      <c r="AN43" s="1004"/>
      <c r="AO43" s="1005"/>
    </row>
    <row r="44" spans="1:41" ht="16.5" customHeight="1">
      <c r="A44" s="537" t="s">
        <v>1500</v>
      </c>
      <c r="B44" s="538"/>
      <c r="C44" s="538"/>
      <c r="D44" s="538"/>
      <c r="E44" s="538"/>
      <c r="F44" s="538"/>
      <c r="G44" s="538"/>
      <c r="H44" s="538"/>
      <c r="I44" s="538"/>
      <c r="J44" s="538"/>
      <c r="K44" s="538"/>
      <c r="L44" s="538"/>
      <c r="M44" s="538"/>
      <c r="N44" s="538"/>
      <c r="O44" s="538"/>
      <c r="P44" s="538"/>
      <c r="Q44" s="538"/>
      <c r="R44" s="538"/>
      <c r="S44" s="538"/>
      <c r="W44" s="590" t="s">
        <v>1420</v>
      </c>
      <c r="X44" s="590"/>
      <c r="Y44" s="590"/>
      <c r="Z44" s="590"/>
      <c r="AA44" s="590"/>
      <c r="AB44" s="590"/>
      <c r="AC44" s="590"/>
      <c r="AD44" s="590"/>
      <c r="AE44" s="590"/>
      <c r="AF44" s="590"/>
      <c r="AH44" s="1003"/>
      <c r="AI44" s="1004"/>
      <c r="AJ44" s="1004"/>
      <c r="AK44" s="1004"/>
      <c r="AL44" s="1004"/>
      <c r="AM44" s="1004"/>
      <c r="AN44" s="1004"/>
      <c r="AO44" s="1005"/>
    </row>
    <row r="45" spans="1:41">
      <c r="A45" s="537" t="s">
        <v>1501</v>
      </c>
      <c r="AH45" s="1229"/>
      <c r="AI45" s="1230"/>
      <c r="AJ45" s="1230"/>
      <c r="AK45" s="1230"/>
      <c r="AL45" s="1230"/>
      <c r="AM45" s="1230"/>
      <c r="AN45" s="1230"/>
      <c r="AO45" s="1231"/>
    </row>
    <row r="46" spans="1:41">
      <c r="A46" s="538" t="s">
        <v>1502</v>
      </c>
    </row>
    <row r="47" spans="1:41">
      <c r="A47" s="95" t="s">
        <v>1503</v>
      </c>
      <c r="B47" s="527"/>
      <c r="C47" s="527"/>
      <c r="D47" s="527"/>
      <c r="E47" s="527"/>
      <c r="F47" s="527"/>
      <c r="G47" s="527"/>
      <c r="H47" s="527"/>
      <c r="I47" s="527"/>
      <c r="J47" s="527"/>
      <c r="K47" s="527"/>
      <c r="L47" s="527"/>
      <c r="M47" s="527"/>
      <c r="N47" s="527"/>
      <c r="O47" s="527"/>
      <c r="P47" s="527"/>
      <c r="Q47" s="527"/>
      <c r="R47" s="527"/>
      <c r="S47" s="527"/>
      <c r="AH47" s="4" t="s">
        <v>1541</v>
      </c>
    </row>
    <row r="48" spans="1:41" ht="16.5" customHeight="1">
      <c r="A48" s="95" t="s">
        <v>1519</v>
      </c>
      <c r="B48" s="528"/>
      <c r="C48" s="528"/>
      <c r="D48" s="528"/>
      <c r="E48" s="528"/>
      <c r="F48" s="528"/>
      <c r="G48" s="528"/>
      <c r="H48" s="528"/>
      <c r="I48" s="528"/>
      <c r="J48" s="528"/>
      <c r="K48" s="528"/>
      <c r="L48" s="528"/>
      <c r="M48" s="528"/>
      <c r="N48" s="528"/>
      <c r="O48" s="528"/>
      <c r="P48" s="528"/>
      <c r="Q48" s="528"/>
      <c r="R48" s="528"/>
      <c r="S48" s="528"/>
      <c r="AH48" s="1209" t="s">
        <v>1543</v>
      </c>
      <c r="AI48" s="1210"/>
      <c r="AJ48" s="1210"/>
      <c r="AK48" s="1210"/>
      <c r="AL48" s="1210"/>
      <c r="AM48" s="1210"/>
      <c r="AN48" s="1210"/>
      <c r="AO48" s="1211"/>
    </row>
    <row r="49" spans="1:41">
      <c r="A49" s="95" t="s">
        <v>1520</v>
      </c>
      <c r="B49" s="529"/>
      <c r="C49" s="529"/>
      <c r="D49" s="529"/>
      <c r="E49" s="529"/>
      <c r="F49" s="529"/>
      <c r="G49" s="529"/>
      <c r="H49" s="529"/>
      <c r="I49" s="529"/>
      <c r="J49" s="529"/>
      <c r="K49" s="529"/>
      <c r="L49" s="529"/>
      <c r="M49" s="529"/>
      <c r="N49" s="529"/>
      <c r="O49" s="529"/>
      <c r="P49" s="529"/>
      <c r="Q49" s="529"/>
      <c r="R49" s="529"/>
      <c r="S49" s="529"/>
      <c r="AH49" s="1212"/>
      <c r="AI49" s="1213"/>
      <c r="AJ49" s="1213"/>
      <c r="AK49" s="1213"/>
      <c r="AL49" s="1213"/>
      <c r="AM49" s="1213"/>
      <c r="AN49" s="1213"/>
      <c r="AO49" s="1214"/>
    </row>
    <row r="50" spans="1:41">
      <c r="R50" s="1300">
        <f ca="1">TODAY()</f>
        <v>46132</v>
      </c>
      <c r="S50" s="1300"/>
      <c r="AH50" s="1212"/>
      <c r="AI50" s="1213"/>
      <c r="AJ50" s="1213"/>
      <c r="AK50" s="1213"/>
      <c r="AL50" s="1213"/>
      <c r="AM50" s="1213"/>
      <c r="AN50" s="1213"/>
      <c r="AO50" s="1214"/>
    </row>
    <row r="51" spans="1:41">
      <c r="S51" s="528" t="s">
        <v>401</v>
      </c>
      <c r="AH51" s="1212"/>
      <c r="AI51" s="1213"/>
      <c r="AJ51" s="1213"/>
      <c r="AK51" s="1213"/>
      <c r="AL51" s="1213"/>
      <c r="AM51" s="1213"/>
      <c r="AN51" s="1213"/>
      <c r="AO51" s="1214"/>
    </row>
    <row r="52" spans="1:41">
      <c r="S52" s="529" t="s">
        <v>402</v>
      </c>
      <c r="AH52" s="1212"/>
      <c r="AI52" s="1213"/>
      <c r="AJ52" s="1213"/>
      <c r="AK52" s="1213"/>
      <c r="AL52" s="1213"/>
      <c r="AM52" s="1213"/>
      <c r="AN52" s="1213"/>
      <c r="AO52" s="1214"/>
    </row>
    <row r="53" spans="1:41">
      <c r="A53" s="95" t="s">
        <v>1498</v>
      </c>
      <c r="AH53" s="1212"/>
      <c r="AI53" s="1213"/>
      <c r="AJ53" s="1213"/>
      <c r="AK53" s="1213"/>
      <c r="AL53" s="1213"/>
      <c r="AM53" s="1213"/>
      <c r="AN53" s="1213"/>
      <c r="AO53" s="1214"/>
    </row>
    <row r="54" spans="1:41">
      <c r="A54" s="95" t="s">
        <v>1499</v>
      </c>
      <c r="AH54" s="1212"/>
      <c r="AI54" s="1213"/>
      <c r="AJ54" s="1213"/>
      <c r="AK54" s="1213"/>
      <c r="AL54" s="1213"/>
      <c r="AM54" s="1213"/>
      <c r="AN54" s="1213"/>
      <c r="AO54" s="1214"/>
    </row>
    <row r="55" spans="1:41">
      <c r="AH55" s="1212"/>
      <c r="AI55" s="1213"/>
      <c r="AJ55" s="1213"/>
      <c r="AK55" s="1213"/>
      <c r="AL55" s="1213"/>
      <c r="AM55" s="1213"/>
      <c r="AN55" s="1213"/>
      <c r="AO55" s="1214"/>
    </row>
    <row r="56" spans="1:41">
      <c r="AH56" s="1212"/>
      <c r="AI56" s="1213"/>
      <c r="AJ56" s="1213"/>
      <c r="AK56" s="1213"/>
      <c r="AL56" s="1213"/>
      <c r="AM56" s="1213"/>
      <c r="AN56" s="1213"/>
      <c r="AO56" s="1214"/>
    </row>
    <row r="57" spans="1:41">
      <c r="AH57" s="1215"/>
      <c r="AI57" s="1216"/>
      <c r="AJ57" s="1216"/>
      <c r="AK57" s="1216"/>
      <c r="AL57" s="1216"/>
      <c r="AM57" s="1216"/>
      <c r="AN57" s="1216"/>
      <c r="AO57" s="1217"/>
    </row>
  </sheetData>
  <mergeCells count="111">
    <mergeCell ref="R50:S50"/>
    <mergeCell ref="C35:L35"/>
    <mergeCell ref="M35:S35"/>
    <mergeCell ref="C37:H37"/>
    <mergeCell ref="Q37:S37"/>
    <mergeCell ref="C38:H39"/>
    <mergeCell ref="I38:P39"/>
    <mergeCell ref="R38:S38"/>
    <mergeCell ref="R39:S39"/>
    <mergeCell ref="Q38:Q39"/>
    <mergeCell ref="C36:H36"/>
    <mergeCell ref="I36:P36"/>
    <mergeCell ref="I37:P37"/>
    <mergeCell ref="Q36:S36"/>
    <mergeCell ref="C16:P16"/>
    <mergeCell ref="Q16:S16"/>
    <mergeCell ref="C17:S17"/>
    <mergeCell ref="C18:H18"/>
    <mergeCell ref="I18:P18"/>
    <mergeCell ref="Q18:S18"/>
    <mergeCell ref="B40:R40"/>
    <mergeCell ref="B41:H42"/>
    <mergeCell ref="I41:K42"/>
    <mergeCell ref="A19:S19"/>
    <mergeCell ref="Q20:S20"/>
    <mergeCell ref="C23:E23"/>
    <mergeCell ref="F23:S23"/>
    <mergeCell ref="N21:P21"/>
    <mergeCell ref="N22:P22"/>
    <mergeCell ref="Q22:S22"/>
    <mergeCell ref="C21:M22"/>
    <mergeCell ref="Q21:S21"/>
    <mergeCell ref="B23:B27"/>
    <mergeCell ref="C24:E25"/>
    <mergeCell ref="A16:A18"/>
    <mergeCell ref="A20:A27"/>
    <mergeCell ref="B21:B22"/>
    <mergeCell ref="M20:P20"/>
    <mergeCell ref="A3:S3"/>
    <mergeCell ref="A4:S4"/>
    <mergeCell ref="M6:O6"/>
    <mergeCell ref="M7:O7"/>
    <mergeCell ref="A9:S9"/>
    <mergeCell ref="C14:S14"/>
    <mergeCell ref="A15:S15"/>
    <mergeCell ref="Q11:S11"/>
    <mergeCell ref="A11:A14"/>
    <mergeCell ref="B12:C13"/>
    <mergeCell ref="D11:L11"/>
    <mergeCell ref="M11:P11"/>
    <mergeCell ref="D12:S13"/>
    <mergeCell ref="A10:S10"/>
    <mergeCell ref="C20:L20"/>
    <mergeCell ref="W2:AF2"/>
    <mergeCell ref="A28:S28"/>
    <mergeCell ref="C29:H29"/>
    <mergeCell ref="I29:P29"/>
    <mergeCell ref="Q29:S29"/>
    <mergeCell ref="R26:S26"/>
    <mergeCell ref="C27:E27"/>
    <mergeCell ref="F27:S27"/>
    <mergeCell ref="AB8:AC8"/>
    <mergeCell ref="AB9:AC10"/>
    <mergeCell ref="AD7:AF7"/>
    <mergeCell ref="AD8:AF8"/>
    <mergeCell ref="AD9:AF10"/>
    <mergeCell ref="W7:X7"/>
    <mergeCell ref="W8:X8"/>
    <mergeCell ref="W9:X10"/>
    <mergeCell ref="Y7:AA7"/>
    <mergeCell ref="Y8:AA8"/>
    <mergeCell ref="AB7:AC7"/>
    <mergeCell ref="W14:AD17"/>
    <mergeCell ref="AE14:AF17"/>
    <mergeCell ref="W18:AD20"/>
    <mergeCell ref="AE18:AF20"/>
    <mergeCell ref="A34:S34"/>
    <mergeCell ref="A35:B35"/>
    <mergeCell ref="A36:B36"/>
    <mergeCell ref="A37:B39"/>
    <mergeCell ref="F24:S25"/>
    <mergeCell ref="C32:H32"/>
    <mergeCell ref="I32:L32"/>
    <mergeCell ref="M32:Q32"/>
    <mergeCell ref="C33:E33"/>
    <mergeCell ref="F33:L33"/>
    <mergeCell ref="M33:Q33"/>
    <mergeCell ref="A29:A32"/>
    <mergeCell ref="B30:B31"/>
    <mergeCell ref="C30:S30"/>
    <mergeCell ref="C31:S31"/>
    <mergeCell ref="C26:E26"/>
    <mergeCell ref="Y9:AA10"/>
    <mergeCell ref="W21:AD27"/>
    <mergeCell ref="AE21:AF27"/>
    <mergeCell ref="AH5:AO18"/>
    <mergeCell ref="AH21:AO24"/>
    <mergeCell ref="AH27:AO30"/>
    <mergeCell ref="W13:AD13"/>
    <mergeCell ref="AE13:AF13"/>
    <mergeCell ref="AH48:AO57"/>
    <mergeCell ref="W36:AF36"/>
    <mergeCell ref="AE39:AF39"/>
    <mergeCell ref="AD42:AF42"/>
    <mergeCell ref="AH33:AO37"/>
    <mergeCell ref="AH40:AO45"/>
    <mergeCell ref="W44:AF44"/>
    <mergeCell ref="W28:AD29"/>
    <mergeCell ref="AE28:AF29"/>
    <mergeCell ref="W31:AF32"/>
    <mergeCell ref="W34:AF35"/>
  </mergeCells>
  <phoneticPr fontId="4" type="noConversion"/>
  <dataValidations disablePrompts="1" count="1">
    <dataValidation allowBlank="1" showInputMessage="1" showErrorMessage="1" prompt="송금관련 연락받을 주소 및 연락처를 기재하세요." sqref="C14:S14" xr:uid="{00000000-0002-0000-0E00-000000000000}"/>
  </dataValidations>
  <pageMargins left="0.7" right="0.7" top="0.75" bottom="0.75" header="0.3" footer="0.3"/>
  <pageSetup paperSize="9" scale="8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2</xdr:col>
                    <xdr:colOff>514350</xdr:colOff>
                    <xdr:row>15</xdr:row>
                    <xdr:rowOff>76200</xdr:rowOff>
                  </from>
                  <to>
                    <xdr:col>2</xdr:col>
                    <xdr:colOff>723900</xdr:colOff>
                    <xdr:row>15</xdr:row>
                    <xdr:rowOff>247650</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9</xdr:col>
                    <xdr:colOff>209550</xdr:colOff>
                    <xdr:row>15</xdr:row>
                    <xdr:rowOff>69850</xdr:rowOff>
                  </from>
                  <to>
                    <xdr:col>10</xdr:col>
                    <xdr:colOff>171450</xdr:colOff>
                    <xdr:row>15</xdr:row>
                    <xdr:rowOff>241300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5</xdr:col>
                    <xdr:colOff>146050</xdr:colOff>
                    <xdr:row>15</xdr:row>
                    <xdr:rowOff>76200</xdr:rowOff>
                  </from>
                  <to>
                    <xdr:col>6</xdr:col>
                    <xdr:colOff>114300</xdr:colOff>
                    <xdr:row>15</xdr:row>
                    <xdr:rowOff>241300</xdr:rowOff>
                  </to>
                </anchor>
              </controlPr>
            </control>
          </mc:Choice>
        </mc:AlternateContent>
        <mc:AlternateContent xmlns:mc="http://schemas.openxmlformats.org/markup-compatibility/2006">
          <mc:Choice Requires="x14">
            <control shapeId="13316" r:id="rId7" name="Check Box 4">
              <controlPr defaultSize="0" autoFill="0" autoLine="0" autoPict="0">
                <anchor moveWithCells="1">
                  <from>
                    <xdr:col>16</xdr:col>
                    <xdr:colOff>431800</xdr:colOff>
                    <xdr:row>15</xdr:row>
                    <xdr:rowOff>69850</xdr:rowOff>
                  </from>
                  <to>
                    <xdr:col>16</xdr:col>
                    <xdr:colOff>641350</xdr:colOff>
                    <xdr:row>15</xdr:row>
                    <xdr:rowOff>241300</xdr:rowOff>
                  </to>
                </anchor>
              </controlPr>
            </control>
          </mc:Choice>
        </mc:AlternateContent>
        <mc:AlternateContent xmlns:mc="http://schemas.openxmlformats.org/markup-compatibility/2006">
          <mc:Choice Requires="x14">
            <control shapeId="13317" r:id="rId8" name="Check Box 5">
              <controlPr defaultSize="0" autoFill="0" autoLine="0" autoPict="0">
                <anchor moveWithCells="1">
                  <from>
                    <xdr:col>17</xdr:col>
                    <xdr:colOff>323850</xdr:colOff>
                    <xdr:row>15</xdr:row>
                    <xdr:rowOff>69850</xdr:rowOff>
                  </from>
                  <to>
                    <xdr:col>17</xdr:col>
                    <xdr:colOff>546100</xdr:colOff>
                    <xdr:row>15</xdr:row>
                    <xdr:rowOff>241300</xdr:rowOff>
                  </to>
                </anchor>
              </controlPr>
            </control>
          </mc:Choice>
        </mc:AlternateContent>
        <mc:AlternateContent xmlns:mc="http://schemas.openxmlformats.org/markup-compatibility/2006">
          <mc:Choice Requires="x14">
            <control shapeId="13318" r:id="rId9" name="Check Box 6">
              <controlPr defaultSize="0" autoFill="0" autoLine="0" autoPict="0">
                <anchor moveWithCells="1">
                  <from>
                    <xdr:col>16</xdr:col>
                    <xdr:colOff>19050</xdr:colOff>
                    <xdr:row>17</xdr:row>
                    <xdr:rowOff>95250</xdr:rowOff>
                  </from>
                  <to>
                    <xdr:col>16</xdr:col>
                    <xdr:colOff>222250</xdr:colOff>
                    <xdr:row>17</xdr:row>
                    <xdr:rowOff>260350</xdr:rowOff>
                  </to>
                </anchor>
              </controlPr>
            </control>
          </mc:Choice>
        </mc:AlternateContent>
        <mc:AlternateContent xmlns:mc="http://schemas.openxmlformats.org/markup-compatibility/2006">
          <mc:Choice Requires="x14">
            <control shapeId="13319" r:id="rId10" name="Check Box 7">
              <controlPr defaultSize="0" autoFill="0" autoLine="0" autoPict="0">
                <anchor moveWithCells="1">
                  <from>
                    <xdr:col>14</xdr:col>
                    <xdr:colOff>209550</xdr:colOff>
                    <xdr:row>29</xdr:row>
                    <xdr:rowOff>12700</xdr:rowOff>
                  </from>
                  <to>
                    <xdr:col>15</xdr:col>
                    <xdr:colOff>171450</xdr:colOff>
                    <xdr:row>29</xdr:row>
                    <xdr:rowOff>184150</xdr:rowOff>
                  </to>
                </anchor>
              </controlPr>
            </control>
          </mc:Choice>
        </mc:AlternateContent>
        <mc:AlternateContent xmlns:mc="http://schemas.openxmlformats.org/markup-compatibility/2006">
          <mc:Choice Requires="x14">
            <control shapeId="13320" r:id="rId11" name="Check Box 8">
              <controlPr defaultSize="0" autoFill="0" autoLine="0" autoPict="0">
                <anchor moveWithCells="1">
                  <from>
                    <xdr:col>7</xdr:col>
                    <xdr:colOff>127000</xdr:colOff>
                    <xdr:row>29</xdr:row>
                    <xdr:rowOff>19050</xdr:rowOff>
                  </from>
                  <to>
                    <xdr:col>8</xdr:col>
                    <xdr:colOff>95250</xdr:colOff>
                    <xdr:row>29</xdr:row>
                    <xdr:rowOff>184150</xdr:rowOff>
                  </to>
                </anchor>
              </controlPr>
            </control>
          </mc:Choice>
        </mc:AlternateContent>
        <mc:AlternateContent xmlns:mc="http://schemas.openxmlformats.org/markup-compatibility/2006">
          <mc:Choice Requires="x14">
            <control shapeId="13321" r:id="rId12" name="Check Box 9">
              <controlPr defaultSize="0" autoFill="0" autoLine="0" autoPict="0">
                <anchor moveWithCells="1">
                  <from>
                    <xdr:col>2</xdr:col>
                    <xdr:colOff>38100</xdr:colOff>
                    <xdr:row>29</xdr:row>
                    <xdr:rowOff>19050</xdr:rowOff>
                  </from>
                  <to>
                    <xdr:col>2</xdr:col>
                    <xdr:colOff>247650</xdr:colOff>
                    <xdr:row>29</xdr:row>
                    <xdr:rowOff>184150</xdr:rowOff>
                  </to>
                </anchor>
              </controlPr>
            </control>
          </mc:Choice>
        </mc:AlternateContent>
        <mc:AlternateContent xmlns:mc="http://schemas.openxmlformats.org/markup-compatibility/2006">
          <mc:Choice Requires="x14">
            <control shapeId="13322" r:id="rId13" name="Check Box 10">
              <controlPr defaultSize="0" autoFill="0" autoLine="0" autoPict="0">
                <anchor moveWithCells="1">
                  <from>
                    <xdr:col>17</xdr:col>
                    <xdr:colOff>228600</xdr:colOff>
                    <xdr:row>17</xdr:row>
                    <xdr:rowOff>38100</xdr:rowOff>
                  </from>
                  <to>
                    <xdr:col>17</xdr:col>
                    <xdr:colOff>438150</xdr:colOff>
                    <xdr:row>17</xdr:row>
                    <xdr:rowOff>279400</xdr:rowOff>
                  </to>
                </anchor>
              </controlPr>
            </control>
          </mc:Choice>
        </mc:AlternateContent>
        <mc:AlternateContent xmlns:mc="http://schemas.openxmlformats.org/markup-compatibility/2006">
          <mc:Choice Requires="x14">
            <control shapeId="13323" r:id="rId14" name="Check Box 11">
              <controlPr defaultSize="0" autoFill="0" autoLine="0" autoPict="0">
                <anchor moveWithCells="1">
                  <from>
                    <xdr:col>2</xdr:col>
                    <xdr:colOff>38100</xdr:colOff>
                    <xdr:row>30</xdr:row>
                    <xdr:rowOff>12700</xdr:rowOff>
                  </from>
                  <to>
                    <xdr:col>2</xdr:col>
                    <xdr:colOff>247650</xdr:colOff>
                    <xdr:row>30</xdr:row>
                    <xdr:rowOff>190500</xdr:rowOff>
                  </to>
                </anchor>
              </controlPr>
            </control>
          </mc:Choice>
        </mc:AlternateContent>
        <mc:AlternateContent xmlns:mc="http://schemas.openxmlformats.org/markup-compatibility/2006">
          <mc:Choice Requires="x14">
            <control shapeId="13324" r:id="rId15" name="Check Box 12">
              <controlPr defaultSize="0" autoFill="0" autoLine="0" autoPict="0">
                <anchor moveWithCells="1">
                  <from>
                    <xdr:col>7</xdr:col>
                    <xdr:colOff>127000</xdr:colOff>
                    <xdr:row>30</xdr:row>
                    <xdr:rowOff>0</xdr:rowOff>
                  </from>
                  <to>
                    <xdr:col>8</xdr:col>
                    <xdr:colOff>95250</xdr:colOff>
                    <xdr:row>30</xdr:row>
                    <xdr:rowOff>184150</xdr:rowOff>
                  </to>
                </anchor>
              </controlPr>
            </control>
          </mc:Choice>
        </mc:AlternateContent>
        <mc:AlternateContent xmlns:mc="http://schemas.openxmlformats.org/markup-compatibility/2006">
          <mc:Choice Requires="x14">
            <control shapeId="13325" r:id="rId16" name="Check Box 13">
              <controlPr defaultSize="0" autoFill="0" autoLine="0" autoPict="0">
                <anchor moveWithCells="1">
                  <from>
                    <xdr:col>14</xdr:col>
                    <xdr:colOff>209550</xdr:colOff>
                    <xdr:row>30</xdr:row>
                    <xdr:rowOff>12700</xdr:rowOff>
                  </from>
                  <to>
                    <xdr:col>15</xdr:col>
                    <xdr:colOff>171450</xdr:colOff>
                    <xdr:row>30</xdr:row>
                    <xdr:rowOff>190500</xdr:rowOff>
                  </to>
                </anchor>
              </controlPr>
            </control>
          </mc:Choice>
        </mc:AlternateContent>
        <mc:AlternateContent xmlns:mc="http://schemas.openxmlformats.org/markup-compatibility/2006">
          <mc:Choice Requires="x14">
            <control shapeId="13332" r:id="rId17" name="Button 20">
              <controlPr defaultSize="0" print="0" autoFill="0" autoPict="0" macro="[0]!외화송금신청서">
                <anchor moveWithCells="1" sizeWithCells="1">
                  <from>
                    <xdr:col>2</xdr:col>
                    <xdr:colOff>762000</xdr:colOff>
                    <xdr:row>56</xdr:row>
                    <xdr:rowOff>127000</xdr:rowOff>
                  </from>
                  <to>
                    <xdr:col>14</xdr:col>
                    <xdr:colOff>95250</xdr:colOff>
                    <xdr:row>58</xdr:row>
                    <xdr:rowOff>69850</xdr:rowOff>
                  </to>
                </anchor>
              </controlPr>
            </control>
          </mc:Choice>
        </mc:AlternateContent>
        <mc:AlternateContent xmlns:mc="http://schemas.openxmlformats.org/markup-compatibility/2006">
          <mc:Choice Requires="x14">
            <control shapeId="13333" r:id="rId18" name="Check Box 21">
              <controlPr defaultSize="0" autoFill="0" autoLine="0" autoPict="0">
                <anchor moveWithCells="1">
                  <from>
                    <xdr:col>30</xdr:col>
                    <xdr:colOff>400050</xdr:colOff>
                    <xdr:row>13</xdr:row>
                    <xdr:rowOff>304800</xdr:rowOff>
                  </from>
                  <to>
                    <xdr:col>30</xdr:col>
                    <xdr:colOff>603250</xdr:colOff>
                    <xdr:row>15</xdr:row>
                    <xdr:rowOff>107950</xdr:rowOff>
                  </to>
                </anchor>
              </controlPr>
            </control>
          </mc:Choice>
        </mc:AlternateContent>
        <mc:AlternateContent xmlns:mc="http://schemas.openxmlformats.org/markup-compatibility/2006">
          <mc:Choice Requires="x14">
            <control shapeId="13334" r:id="rId19" name="Check Box 22">
              <controlPr defaultSize="0" autoFill="0" autoLine="0" autoPict="0">
                <anchor moveWithCells="1">
                  <from>
                    <xdr:col>30</xdr:col>
                    <xdr:colOff>400050</xdr:colOff>
                    <xdr:row>15</xdr:row>
                    <xdr:rowOff>76200</xdr:rowOff>
                  </from>
                  <to>
                    <xdr:col>30</xdr:col>
                    <xdr:colOff>603250</xdr:colOff>
                    <xdr:row>15</xdr:row>
                    <xdr:rowOff>247650</xdr:rowOff>
                  </to>
                </anchor>
              </controlPr>
            </control>
          </mc:Choice>
        </mc:AlternateContent>
        <mc:AlternateContent xmlns:mc="http://schemas.openxmlformats.org/markup-compatibility/2006">
          <mc:Choice Requires="x14">
            <control shapeId="13335" r:id="rId20" name="Check Box 23">
              <controlPr defaultSize="0" autoFill="0" autoLine="0" autoPict="0">
                <anchor moveWithCells="1">
                  <from>
                    <xdr:col>30</xdr:col>
                    <xdr:colOff>400050</xdr:colOff>
                    <xdr:row>17</xdr:row>
                    <xdr:rowOff>152400</xdr:rowOff>
                  </from>
                  <to>
                    <xdr:col>30</xdr:col>
                    <xdr:colOff>603250</xdr:colOff>
                    <xdr:row>18</xdr:row>
                    <xdr:rowOff>0</xdr:rowOff>
                  </to>
                </anchor>
              </controlPr>
            </control>
          </mc:Choice>
        </mc:AlternateContent>
        <mc:AlternateContent xmlns:mc="http://schemas.openxmlformats.org/markup-compatibility/2006">
          <mc:Choice Requires="x14">
            <control shapeId="13336" r:id="rId21" name="Check Box 24">
              <controlPr defaultSize="0" autoFill="0" autoLine="0" autoPict="0">
                <anchor moveWithCells="1">
                  <from>
                    <xdr:col>30</xdr:col>
                    <xdr:colOff>400050</xdr:colOff>
                    <xdr:row>18</xdr:row>
                    <xdr:rowOff>12700</xdr:rowOff>
                  </from>
                  <to>
                    <xdr:col>30</xdr:col>
                    <xdr:colOff>603250</xdr:colOff>
                    <xdr:row>19</xdr:row>
                    <xdr:rowOff>133350</xdr:rowOff>
                  </to>
                </anchor>
              </controlPr>
            </control>
          </mc:Choice>
        </mc:AlternateContent>
        <mc:AlternateContent xmlns:mc="http://schemas.openxmlformats.org/markup-compatibility/2006">
          <mc:Choice Requires="x14">
            <control shapeId="13337" r:id="rId22" name="Check Box 25">
              <controlPr defaultSize="0" autoFill="0" autoLine="0" autoPict="0">
                <anchor moveWithCells="1">
                  <from>
                    <xdr:col>30</xdr:col>
                    <xdr:colOff>400050</xdr:colOff>
                    <xdr:row>22</xdr:row>
                    <xdr:rowOff>76200</xdr:rowOff>
                  </from>
                  <to>
                    <xdr:col>30</xdr:col>
                    <xdr:colOff>603250</xdr:colOff>
                    <xdr:row>23</xdr:row>
                    <xdr:rowOff>38100</xdr:rowOff>
                  </to>
                </anchor>
              </controlPr>
            </control>
          </mc:Choice>
        </mc:AlternateContent>
        <mc:AlternateContent xmlns:mc="http://schemas.openxmlformats.org/markup-compatibility/2006">
          <mc:Choice Requires="x14">
            <control shapeId="13338" r:id="rId23" name="Check Box 26">
              <controlPr defaultSize="0" autoFill="0" autoLine="0" autoPict="0">
                <anchor moveWithCells="1">
                  <from>
                    <xdr:col>30</xdr:col>
                    <xdr:colOff>400050</xdr:colOff>
                    <xdr:row>23</xdr:row>
                    <xdr:rowOff>50800</xdr:rowOff>
                  </from>
                  <to>
                    <xdr:col>30</xdr:col>
                    <xdr:colOff>603250</xdr:colOff>
                    <xdr:row>24</xdr:row>
                    <xdr:rowOff>50800</xdr:rowOff>
                  </to>
                </anchor>
              </controlPr>
            </control>
          </mc:Choice>
        </mc:AlternateContent>
        <mc:AlternateContent xmlns:mc="http://schemas.openxmlformats.org/markup-compatibility/2006">
          <mc:Choice Requires="x14">
            <control shapeId="13343" r:id="rId24" name="Button 31">
              <controlPr defaultSize="0" print="0" autoFill="0" autoPict="0" macro="[0]!대리납부체크리스트">
                <anchor moveWithCells="1" sizeWithCells="1">
                  <from>
                    <xdr:col>24</xdr:col>
                    <xdr:colOff>457200</xdr:colOff>
                    <xdr:row>49</xdr:row>
                    <xdr:rowOff>50800</xdr:rowOff>
                  </from>
                  <to>
                    <xdr:col>29</xdr:col>
                    <xdr:colOff>450850</xdr:colOff>
                    <xdr:row>51</xdr:row>
                    <xdr:rowOff>12700</xdr:rowOff>
                  </to>
                </anchor>
              </controlPr>
            </control>
          </mc:Choice>
        </mc:AlternateContent>
        <mc:AlternateContent xmlns:mc="http://schemas.openxmlformats.org/markup-compatibility/2006">
          <mc:Choice Requires="x14">
            <control shapeId="13344" r:id="rId25" name="Check Box 32">
              <controlPr defaultSize="0" autoFill="0" autoLine="0" autoPict="0">
                <anchor moveWithCells="1">
                  <from>
                    <xdr:col>2</xdr:col>
                    <xdr:colOff>184150</xdr:colOff>
                    <xdr:row>35</xdr:row>
                    <xdr:rowOff>76200</xdr:rowOff>
                  </from>
                  <to>
                    <xdr:col>2</xdr:col>
                    <xdr:colOff>393700</xdr:colOff>
                    <xdr:row>35</xdr:row>
                    <xdr:rowOff>241300</xdr:rowOff>
                  </to>
                </anchor>
              </controlPr>
            </control>
          </mc:Choice>
        </mc:AlternateContent>
        <mc:AlternateContent xmlns:mc="http://schemas.openxmlformats.org/markup-compatibility/2006">
          <mc:Choice Requires="x14">
            <control shapeId="13345" r:id="rId26" name="Check Box 33">
              <controlPr defaultSize="0" autoFill="0" autoLine="0" autoPict="0">
                <anchor moveWithCells="1">
                  <from>
                    <xdr:col>10</xdr:col>
                    <xdr:colOff>69850</xdr:colOff>
                    <xdr:row>35</xdr:row>
                    <xdr:rowOff>88900</xdr:rowOff>
                  </from>
                  <to>
                    <xdr:col>11</xdr:col>
                    <xdr:colOff>31750</xdr:colOff>
                    <xdr:row>35</xdr:row>
                    <xdr:rowOff>247650</xdr:rowOff>
                  </to>
                </anchor>
              </controlPr>
            </control>
          </mc:Choice>
        </mc:AlternateContent>
        <mc:AlternateContent xmlns:mc="http://schemas.openxmlformats.org/markup-compatibility/2006">
          <mc:Choice Requires="x14">
            <control shapeId="13346" r:id="rId27" name="Check Box 34">
              <controlPr defaultSize="0" autoFill="0" autoLine="0" autoPict="0">
                <anchor moveWithCells="1">
                  <from>
                    <xdr:col>16</xdr:col>
                    <xdr:colOff>431800</xdr:colOff>
                    <xdr:row>35</xdr:row>
                    <xdr:rowOff>88900</xdr:rowOff>
                  </from>
                  <to>
                    <xdr:col>16</xdr:col>
                    <xdr:colOff>641350</xdr:colOff>
                    <xdr:row>35</xdr:row>
                    <xdr:rowOff>247650</xdr:rowOff>
                  </to>
                </anchor>
              </controlPr>
            </control>
          </mc:Choice>
        </mc:AlternateContent>
        <mc:AlternateContent xmlns:mc="http://schemas.openxmlformats.org/markup-compatibility/2006">
          <mc:Choice Requires="x14">
            <control shapeId="13347" r:id="rId28" name="Check Box 35">
              <controlPr defaultSize="0" autoFill="0" autoLine="0" autoPict="0">
                <anchor moveWithCells="1">
                  <from>
                    <xdr:col>17</xdr:col>
                    <xdr:colOff>38100</xdr:colOff>
                    <xdr:row>37</xdr:row>
                    <xdr:rowOff>0</xdr:rowOff>
                  </from>
                  <to>
                    <xdr:col>17</xdr:col>
                    <xdr:colOff>247650</xdr:colOff>
                    <xdr:row>37</xdr:row>
                    <xdr:rowOff>165100</xdr:rowOff>
                  </to>
                </anchor>
              </controlPr>
            </control>
          </mc:Choice>
        </mc:AlternateContent>
        <mc:AlternateContent xmlns:mc="http://schemas.openxmlformats.org/markup-compatibility/2006">
          <mc:Choice Requires="x14">
            <control shapeId="13348" r:id="rId29" name="Check Box 36">
              <controlPr defaultSize="0" autoFill="0" autoLine="0" autoPict="0">
                <anchor moveWithCells="1">
                  <from>
                    <xdr:col>17</xdr:col>
                    <xdr:colOff>38100</xdr:colOff>
                    <xdr:row>38</xdr:row>
                    <xdr:rowOff>0</xdr:rowOff>
                  </from>
                  <to>
                    <xdr:col>17</xdr:col>
                    <xdr:colOff>247650</xdr:colOff>
                    <xdr:row>38</xdr:row>
                    <xdr:rowOff>165100</xdr:rowOff>
                  </to>
                </anchor>
              </controlPr>
            </control>
          </mc:Choice>
        </mc:AlternateContent>
        <mc:AlternateContent xmlns:mc="http://schemas.openxmlformats.org/markup-compatibility/2006">
          <mc:Choice Requires="x14">
            <control shapeId="13349" r:id="rId30" name="Check Box 37">
              <controlPr defaultSize="0" autoFill="0" autoLine="0" autoPict="0">
                <anchor moveWithCells="1">
                  <from>
                    <xdr:col>9</xdr:col>
                    <xdr:colOff>31750</xdr:colOff>
                    <xdr:row>41</xdr:row>
                    <xdr:rowOff>38100</xdr:rowOff>
                  </from>
                  <to>
                    <xdr:col>9</xdr:col>
                    <xdr:colOff>228600</xdr:colOff>
                    <xdr:row>41</xdr:row>
                    <xdr:rowOff>203200</xdr:rowOff>
                  </to>
                </anchor>
              </controlPr>
            </control>
          </mc:Choice>
        </mc:AlternateContent>
        <mc:AlternateContent xmlns:mc="http://schemas.openxmlformats.org/markup-compatibility/2006">
          <mc:Choice Requires="x14">
            <control shapeId="13350" r:id="rId31" name="Check Box 38">
              <controlPr defaultSize="0" autoFill="0" autoLine="0" autoPict="0">
                <anchor moveWithCells="1">
                  <from>
                    <xdr:col>2</xdr:col>
                    <xdr:colOff>304800</xdr:colOff>
                    <xdr:row>34</xdr:row>
                    <xdr:rowOff>38100</xdr:rowOff>
                  </from>
                  <to>
                    <xdr:col>2</xdr:col>
                    <xdr:colOff>514350</xdr:colOff>
                    <xdr:row>34</xdr:row>
                    <xdr:rowOff>203200</xdr:rowOff>
                  </to>
                </anchor>
              </controlPr>
            </control>
          </mc:Choice>
        </mc:AlternateContent>
        <mc:AlternateContent xmlns:mc="http://schemas.openxmlformats.org/markup-compatibility/2006">
          <mc:Choice Requires="x14">
            <control shapeId="13351" r:id="rId32" name="Check Box 39">
              <controlPr defaultSize="0" autoFill="0" autoLine="0" autoPict="0">
                <anchor moveWithCells="1">
                  <from>
                    <xdr:col>13</xdr:col>
                    <xdr:colOff>171450</xdr:colOff>
                    <xdr:row>34</xdr:row>
                    <xdr:rowOff>50800</xdr:rowOff>
                  </from>
                  <to>
                    <xdr:col>14</xdr:col>
                    <xdr:colOff>146050</xdr:colOff>
                    <xdr:row>34</xdr:row>
                    <xdr:rowOff>209550</xdr:rowOff>
                  </to>
                </anchor>
              </controlPr>
            </control>
          </mc:Choice>
        </mc:AlternateContent>
        <mc:AlternateContent xmlns:mc="http://schemas.openxmlformats.org/markup-compatibility/2006">
          <mc:Choice Requires="x14">
            <control shapeId="13352" r:id="rId33" name="Check Box 40">
              <controlPr defaultSize="0" autoFill="0" autoLine="0" autoPict="0">
                <anchor moveWithCells="1">
                  <from>
                    <xdr:col>2</xdr:col>
                    <xdr:colOff>533400</xdr:colOff>
                    <xdr:row>37</xdr:row>
                    <xdr:rowOff>88900</xdr:rowOff>
                  </from>
                  <to>
                    <xdr:col>2</xdr:col>
                    <xdr:colOff>742950</xdr:colOff>
                    <xdr:row>38</xdr:row>
                    <xdr:rowOff>76200</xdr:rowOff>
                  </to>
                </anchor>
              </controlPr>
            </control>
          </mc:Choice>
        </mc:AlternateContent>
        <mc:AlternateContent xmlns:mc="http://schemas.openxmlformats.org/markup-compatibility/2006">
          <mc:Choice Requires="x14">
            <control shapeId="13353" r:id="rId34" name="Check Box 41">
              <controlPr defaultSize="0" autoFill="0" autoLine="0" autoPict="0">
                <anchor moveWithCells="1">
                  <from>
                    <xdr:col>9</xdr:col>
                    <xdr:colOff>146050</xdr:colOff>
                    <xdr:row>37</xdr:row>
                    <xdr:rowOff>76200</xdr:rowOff>
                  </from>
                  <to>
                    <xdr:col>10</xdr:col>
                    <xdr:colOff>114300</xdr:colOff>
                    <xdr:row>38</xdr:row>
                    <xdr:rowOff>69850</xdr:rowOff>
                  </to>
                </anchor>
              </controlPr>
            </control>
          </mc:Choice>
        </mc:AlternateContent>
        <mc:AlternateContent xmlns:mc="http://schemas.openxmlformats.org/markup-compatibility/2006">
          <mc:Choice Requires="x14">
            <control shapeId="13354" r:id="rId35" name="Check Box 42">
              <controlPr defaultSize="0" autoFill="0" autoLine="0" autoPict="0">
                <anchor moveWithCells="1">
                  <from>
                    <xdr:col>30</xdr:col>
                    <xdr:colOff>400050</xdr:colOff>
                    <xdr:row>28</xdr:row>
                    <xdr:rowOff>31750</xdr:rowOff>
                  </from>
                  <to>
                    <xdr:col>30</xdr:col>
                    <xdr:colOff>603250</xdr:colOff>
                    <xdr:row>28</xdr:row>
                    <xdr:rowOff>203200</xdr:rowOff>
                  </to>
                </anchor>
              </controlPr>
            </control>
          </mc:Choice>
        </mc:AlternateContent>
        <mc:AlternateContent xmlns:mc="http://schemas.openxmlformats.org/markup-compatibility/2006">
          <mc:Choice Requires="x14">
            <control shapeId="13355" r:id="rId36" name="Check Box 43">
              <controlPr defaultSize="0" autoFill="0" autoLine="0" autoPict="0">
                <anchor moveWithCells="1">
                  <from>
                    <xdr:col>30</xdr:col>
                    <xdr:colOff>400050</xdr:colOff>
                    <xdr:row>27</xdr:row>
                    <xdr:rowOff>95250</xdr:rowOff>
                  </from>
                  <to>
                    <xdr:col>30</xdr:col>
                    <xdr:colOff>603250</xdr:colOff>
                    <xdr:row>28</xdr:row>
                    <xdr:rowOff>50800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7030A0"/>
    <pageSetUpPr fitToPage="1"/>
  </sheetPr>
  <dimension ref="A1:L38"/>
  <sheetViews>
    <sheetView showGridLines="0" zoomScaleNormal="100" workbookViewId="0">
      <selection activeCell="G9" sqref="G9"/>
    </sheetView>
  </sheetViews>
  <sheetFormatPr defaultColWidth="9" defaultRowHeight="17"/>
  <cols>
    <col min="1" max="1" width="1.25" style="35" customWidth="1"/>
    <col min="2" max="2" width="4.9140625" style="4" customWidth="1"/>
    <col min="3" max="5" width="9" style="4"/>
    <col min="6" max="6" width="12.75" style="4" customWidth="1"/>
    <col min="7" max="8" width="12.08203125" style="4" customWidth="1"/>
    <col min="9" max="16384" width="9" style="4"/>
  </cols>
  <sheetData>
    <row r="1" spans="1:12" ht="30" customHeight="1">
      <c r="A1" s="4"/>
    </row>
    <row r="2" spans="1:12" ht="33.5">
      <c r="A2" s="4"/>
      <c r="B2" s="618" t="s">
        <v>403</v>
      </c>
      <c r="C2" s="618"/>
      <c r="D2" s="618"/>
      <c r="E2" s="618"/>
      <c r="F2" s="618"/>
      <c r="G2" s="618"/>
      <c r="H2" s="618"/>
      <c r="I2" s="618"/>
      <c r="J2" s="618"/>
      <c r="K2" s="618"/>
    </row>
    <row r="3" spans="1:12">
      <c r="B3" s="55"/>
      <c r="C3" s="55"/>
      <c r="D3" s="55"/>
      <c r="E3" s="55"/>
      <c r="F3" s="55"/>
      <c r="G3" s="55"/>
      <c r="H3" s="55"/>
      <c r="I3" s="55"/>
      <c r="J3" s="55"/>
      <c r="K3" s="55"/>
    </row>
    <row r="4" spans="1:12" ht="26.25" customHeight="1">
      <c r="B4" s="946" t="s">
        <v>257</v>
      </c>
      <c r="C4" s="949"/>
      <c r="D4" s="837"/>
      <c r="E4" s="838"/>
      <c r="F4" s="839"/>
      <c r="G4" s="763" t="s">
        <v>204</v>
      </c>
      <c r="H4" s="765"/>
      <c r="I4" s="837"/>
      <c r="J4" s="838"/>
      <c r="K4" s="839"/>
    </row>
    <row r="5" spans="1:12" ht="26.25" customHeight="1">
      <c r="B5" s="946" t="s">
        <v>207</v>
      </c>
      <c r="C5" s="946"/>
      <c r="D5" s="1310"/>
      <c r="E5" s="838"/>
      <c r="F5" s="1311"/>
      <c r="G5" s="1312" t="s">
        <v>76</v>
      </c>
      <c r="H5" s="1313"/>
      <c r="I5" s="1310"/>
      <c r="J5" s="838"/>
      <c r="K5" s="1311"/>
    </row>
    <row r="6" spans="1:12" ht="26.5" customHeight="1">
      <c r="A6" s="37"/>
      <c r="B6" s="49"/>
      <c r="C6" s="49"/>
      <c r="D6" s="49"/>
      <c r="E6" s="49"/>
      <c r="F6" s="49"/>
      <c r="G6" s="49"/>
      <c r="H6" s="49"/>
      <c r="I6" s="49"/>
      <c r="J6" s="49"/>
      <c r="K6" s="49"/>
    </row>
    <row r="7" spans="1:12" ht="26.25" customHeight="1">
      <c r="A7" s="37"/>
      <c r="B7" s="45" t="s">
        <v>261</v>
      </c>
      <c r="C7" s="946" t="s">
        <v>404</v>
      </c>
      <c r="D7" s="946"/>
      <c r="E7" s="946" t="s">
        <v>405</v>
      </c>
      <c r="F7" s="946"/>
      <c r="G7" s="45" t="s">
        <v>406</v>
      </c>
      <c r="H7" s="45" t="s">
        <v>407</v>
      </c>
      <c r="I7" s="946" t="s">
        <v>408</v>
      </c>
      <c r="J7" s="946"/>
      <c r="K7" s="946"/>
    </row>
    <row r="8" spans="1:12" ht="36" customHeight="1">
      <c r="A8" s="37"/>
      <c r="B8" s="96">
        <v>1</v>
      </c>
      <c r="C8" s="1308" t="s">
        <v>867</v>
      </c>
      <c r="D8" s="1308"/>
      <c r="E8" s="1308" t="s">
        <v>409</v>
      </c>
      <c r="F8" s="1308"/>
      <c r="G8" s="574">
        <v>45407</v>
      </c>
      <c r="H8" s="180">
        <v>100000</v>
      </c>
      <c r="I8" s="1309" t="s">
        <v>868</v>
      </c>
      <c r="J8" s="1309"/>
      <c r="K8" s="1309"/>
    </row>
    <row r="9" spans="1:12" ht="75" customHeight="1">
      <c r="A9" s="37"/>
      <c r="B9" s="96">
        <v>2</v>
      </c>
      <c r="C9" s="1305"/>
      <c r="D9" s="1305"/>
      <c r="E9" s="1305"/>
      <c r="F9" s="1305"/>
      <c r="G9" s="575"/>
      <c r="H9" s="97"/>
      <c r="I9" s="1306"/>
      <c r="J9" s="1306"/>
      <c r="K9" s="1306"/>
    </row>
    <row r="10" spans="1:12" ht="75" customHeight="1">
      <c r="B10" s="96">
        <v>3</v>
      </c>
      <c r="C10" s="1305"/>
      <c r="D10" s="1305"/>
      <c r="E10" s="1305"/>
      <c r="F10" s="1305"/>
      <c r="G10" s="575"/>
      <c r="H10" s="97"/>
      <c r="I10" s="1306"/>
      <c r="J10" s="1306"/>
      <c r="K10" s="1306"/>
    </row>
    <row r="11" spans="1:12" ht="75" customHeight="1">
      <c r="B11" s="594"/>
      <c r="C11" s="594"/>
      <c r="D11" s="594"/>
      <c r="E11" s="594"/>
    </row>
    <row r="12" spans="1:12" ht="17.5" customHeight="1">
      <c r="B12" s="593" t="s">
        <v>410</v>
      </c>
      <c r="C12" s="593"/>
      <c r="D12" s="593"/>
      <c r="E12" s="593"/>
      <c r="F12" s="593"/>
      <c r="G12" s="593"/>
      <c r="H12" s="593"/>
      <c r="I12" s="593"/>
      <c r="J12" s="593"/>
      <c r="K12" s="593"/>
    </row>
    <row r="13" spans="1:12">
      <c r="A13" s="37"/>
      <c r="B13" s="24"/>
      <c r="C13" s="24"/>
      <c r="D13" s="24"/>
      <c r="E13" s="24"/>
      <c r="F13" s="24"/>
      <c r="G13" s="24"/>
      <c r="H13" s="24"/>
      <c r="I13" s="24"/>
      <c r="J13" s="24"/>
      <c r="K13" s="24"/>
    </row>
    <row r="14" spans="1:12">
      <c r="A14" s="37"/>
      <c r="B14" s="596">
        <f ca="1">TODAY()</f>
        <v>46132</v>
      </c>
      <c r="C14" s="596"/>
      <c r="D14" s="596"/>
      <c r="E14" s="596"/>
      <c r="F14" s="596"/>
      <c r="G14" s="596"/>
      <c r="H14" s="596"/>
      <c r="I14" s="596"/>
      <c r="J14" s="596"/>
      <c r="K14" s="596"/>
    </row>
    <row r="15" spans="1:12" s="24" customFormat="1">
      <c r="A15" s="37"/>
      <c r="B15" s="85"/>
      <c r="C15" s="85"/>
      <c r="D15" s="85"/>
      <c r="E15" s="85"/>
      <c r="F15" s="85"/>
      <c r="G15" s="85"/>
      <c r="H15" s="85"/>
      <c r="I15" s="85"/>
      <c r="J15" s="85"/>
      <c r="K15" s="85"/>
      <c r="L15" s="84"/>
    </row>
    <row r="16" spans="1:12">
      <c r="A16" s="37"/>
      <c r="H16" s="49" t="s">
        <v>272</v>
      </c>
      <c r="I16" s="1307"/>
      <c r="J16" s="1307"/>
      <c r="K16" s="57" t="s">
        <v>873</v>
      </c>
      <c r="L16" s="85"/>
    </row>
    <row r="17" spans="1:12" ht="16.5" customHeight="1">
      <c r="A17" s="37"/>
      <c r="I17" s="49"/>
      <c r="J17" s="49"/>
      <c r="K17" s="49"/>
    </row>
    <row r="18" spans="1:12">
      <c r="A18" s="37"/>
      <c r="B18" s="590" t="s">
        <v>1420</v>
      </c>
      <c r="C18" s="590"/>
      <c r="D18" s="590"/>
      <c r="E18" s="590"/>
      <c r="F18" s="590"/>
      <c r="G18" s="590"/>
      <c r="H18" s="590"/>
      <c r="I18" s="590"/>
      <c r="J18" s="590"/>
      <c r="K18" s="590"/>
      <c r="L18" s="57"/>
    </row>
    <row r="19" spans="1:12" ht="16.5" customHeight="1">
      <c r="L19" s="5"/>
    </row>
    <row r="20" spans="1:12">
      <c r="A20" s="37"/>
    </row>
    <row r="21" spans="1:12">
      <c r="A21" s="37"/>
    </row>
    <row r="22" spans="1:12">
      <c r="A22" s="37"/>
    </row>
    <row r="24" spans="1:12">
      <c r="A24" s="37"/>
    </row>
    <row r="25" spans="1:12">
      <c r="A25" s="37"/>
    </row>
    <row r="26" spans="1:12">
      <c r="A26" s="37"/>
    </row>
    <row r="27" spans="1:12">
      <c r="A27" s="37"/>
    </row>
    <row r="28" spans="1:12">
      <c r="A28" s="37"/>
    </row>
    <row r="29" spans="1:12">
      <c r="A29" s="37"/>
    </row>
    <row r="30" spans="1:12">
      <c r="A30" s="37"/>
    </row>
    <row r="31" spans="1:12">
      <c r="A31" s="37"/>
    </row>
    <row r="32" spans="1:12">
      <c r="A32" s="46"/>
    </row>
    <row r="34" spans="1:1">
      <c r="A34" s="46"/>
    </row>
    <row r="38" spans="1:1">
      <c r="A38" s="46"/>
    </row>
  </sheetData>
  <mergeCells count="26">
    <mergeCell ref="B5:C5"/>
    <mergeCell ref="D5:F5"/>
    <mergeCell ref="G5:H5"/>
    <mergeCell ref="I5:K5"/>
    <mergeCell ref="B2:K2"/>
    <mergeCell ref="B4:C4"/>
    <mergeCell ref="D4:F4"/>
    <mergeCell ref="G4:H4"/>
    <mergeCell ref="I4:K4"/>
    <mergeCell ref="C7:D7"/>
    <mergeCell ref="E7:F7"/>
    <mergeCell ref="I7:K7"/>
    <mergeCell ref="C8:D8"/>
    <mergeCell ref="E8:F8"/>
    <mergeCell ref="I8:K8"/>
    <mergeCell ref="C9:D9"/>
    <mergeCell ref="E9:F9"/>
    <mergeCell ref="I9:K9"/>
    <mergeCell ref="I16:J16"/>
    <mergeCell ref="B18:K18"/>
    <mergeCell ref="C10:D10"/>
    <mergeCell ref="E10:F10"/>
    <mergeCell ref="I10:K10"/>
    <mergeCell ref="B11:E11"/>
    <mergeCell ref="B12:K12"/>
    <mergeCell ref="B14:K14"/>
  </mergeCells>
  <phoneticPr fontId="4" type="noConversion"/>
  <dataValidations count="2">
    <dataValidation type="date" allowBlank="1" showInputMessage="1" showErrorMessage="1" prompt="yymmdd_x000a_(년-월-일)" sqref="G8:G10" xr:uid="{00000000-0002-0000-0F00-000000000000}">
      <formula1>36526</formula1>
      <formula2>401768</formula2>
    </dataValidation>
    <dataValidation type="list" allowBlank="1" showInputMessage="1" showErrorMessage="1" sqref="E8:F10" xr:uid="{00000000-0002-0000-0F00-000001000000}">
      <formula1>"연구비(법인)카드 미사용, 현금사용 및 개인거래(선지급), 중앙구매 미진행,기타"</formula1>
    </dataValidation>
  </dataValidations>
  <pageMargins left="0.25" right="0.25" top="0.75" bottom="0.75" header="0.3" footer="0.3"/>
  <pageSetup paperSize="9" scale="95"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확인서">
                <anchor moveWithCells="1" sizeWithCells="1">
                  <from>
                    <xdr:col>4</xdr:col>
                    <xdr:colOff>488950</xdr:colOff>
                    <xdr:row>19</xdr:row>
                    <xdr:rowOff>19050</xdr:rowOff>
                  </from>
                  <to>
                    <xdr:col>7</xdr:col>
                    <xdr:colOff>431800</xdr:colOff>
                    <xdr:row>20</xdr:row>
                    <xdr:rowOff>171450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7030A0"/>
  </sheetPr>
  <dimension ref="B1:G32"/>
  <sheetViews>
    <sheetView showGridLines="0" zoomScaleNormal="100" workbookViewId="0">
      <selection activeCell="B27" sqref="B27:G32"/>
    </sheetView>
  </sheetViews>
  <sheetFormatPr defaultColWidth="9" defaultRowHeight="17"/>
  <cols>
    <col min="1" max="1" width="1.9140625" style="98" customWidth="1"/>
    <col min="2" max="2" width="3.25" style="98" customWidth="1"/>
    <col min="3" max="3" width="21.33203125" style="98" bestFit="1" customWidth="1"/>
    <col min="4" max="4" width="41.25" style="98" customWidth="1"/>
    <col min="5" max="5" width="22.33203125" style="98" customWidth="1"/>
    <col min="6" max="6" width="10.6640625" style="98" customWidth="1"/>
    <col min="7" max="7" width="10.08203125" style="98" customWidth="1"/>
    <col min="8" max="11" width="9" style="98"/>
    <col min="12" max="12" width="10.4140625" style="98" bestFit="1" customWidth="1"/>
    <col min="13" max="16384" width="9" style="98"/>
  </cols>
  <sheetData>
    <row r="1" spans="2:7" ht="29.25" customHeight="1">
      <c r="C1" s="99"/>
    </row>
    <row r="2" spans="2:7" ht="16.5" customHeight="1">
      <c r="B2" s="1314" t="s">
        <v>42</v>
      </c>
      <c r="C2" s="1314"/>
      <c r="D2" s="1314"/>
      <c r="E2" s="1314"/>
      <c r="F2" s="1314"/>
      <c r="G2" s="1314"/>
    </row>
    <row r="3" spans="2:7" ht="25.5" customHeight="1">
      <c r="B3" s="1314"/>
      <c r="C3" s="1314"/>
      <c r="D3" s="1314"/>
      <c r="E3" s="1314"/>
      <c r="F3" s="1314"/>
      <c r="G3" s="1314"/>
    </row>
    <row r="4" spans="2:7" ht="11.25" customHeight="1">
      <c r="G4" s="100"/>
    </row>
    <row r="5" spans="2:7">
      <c r="B5" s="1315" t="s">
        <v>870</v>
      </c>
      <c r="C5" s="1315"/>
      <c r="D5" s="1315"/>
      <c r="E5" s="1315"/>
      <c r="F5" s="1315"/>
      <c r="G5" s="1315"/>
    </row>
    <row r="6" spans="2:7">
      <c r="B6" s="1316" t="s">
        <v>411</v>
      </c>
      <c r="C6" s="1316"/>
      <c r="D6" s="1316"/>
      <c r="E6" s="1316"/>
      <c r="F6" s="1316"/>
      <c r="G6" s="1316"/>
    </row>
    <row r="7" spans="2:7" ht="17.5" thickBot="1">
      <c r="B7" s="101"/>
      <c r="C7" s="101"/>
      <c r="D7" s="101"/>
      <c r="E7" s="101"/>
      <c r="F7" s="101"/>
      <c r="G7" s="101"/>
    </row>
    <row r="8" spans="2:7">
      <c r="B8" s="102"/>
      <c r="C8" s="103"/>
      <c r="D8" s="103"/>
      <c r="E8" s="103"/>
      <c r="F8" s="103"/>
      <c r="G8" s="104"/>
    </row>
    <row r="9" spans="2:7">
      <c r="B9" s="105"/>
      <c r="C9" s="106"/>
      <c r="D9" s="106" t="s">
        <v>412</v>
      </c>
      <c r="E9" s="107" t="s">
        <v>869</v>
      </c>
      <c r="F9" s="106"/>
      <c r="G9" s="108"/>
    </row>
    <row r="10" spans="2:7">
      <c r="B10" s="105"/>
      <c r="C10" s="106"/>
      <c r="D10" s="106"/>
      <c r="E10" s="109"/>
      <c r="F10" s="106"/>
      <c r="G10" s="108"/>
    </row>
    <row r="11" spans="2:7">
      <c r="B11" s="110"/>
      <c r="C11" s="111" t="s">
        <v>413</v>
      </c>
      <c r="D11" s="106" t="s">
        <v>414</v>
      </c>
      <c r="E11" s="112">
        <v>100000000</v>
      </c>
      <c r="F11" s="106" t="s">
        <v>415</v>
      </c>
      <c r="G11" s="108"/>
    </row>
    <row r="12" spans="2:7">
      <c r="B12" s="113"/>
      <c r="C12" s="114"/>
      <c r="D12" s="106"/>
      <c r="E12" s="115"/>
      <c r="F12" s="106"/>
      <c r="G12" s="108"/>
    </row>
    <row r="13" spans="2:7">
      <c r="B13" s="110"/>
      <c r="C13" s="111" t="s">
        <v>416</v>
      </c>
      <c r="D13" s="106" t="s">
        <v>417</v>
      </c>
      <c r="E13" s="116">
        <v>0</v>
      </c>
      <c r="F13" s="106" t="s">
        <v>418</v>
      </c>
      <c r="G13" s="108"/>
    </row>
    <row r="14" spans="2:7">
      <c r="B14" s="113"/>
      <c r="C14" s="114"/>
      <c r="D14" s="106"/>
      <c r="E14" s="117"/>
      <c r="F14" s="106"/>
      <c r="G14" s="108"/>
    </row>
    <row r="15" spans="2:7">
      <c r="B15" s="110"/>
      <c r="C15" s="111" t="s">
        <v>419</v>
      </c>
      <c r="D15" s="106" t="s">
        <v>420</v>
      </c>
      <c r="E15" s="118">
        <v>2</v>
      </c>
      <c r="F15" s="106" t="s">
        <v>421</v>
      </c>
      <c r="G15" s="108"/>
    </row>
    <row r="16" spans="2:7" ht="3.75" customHeight="1">
      <c r="B16" s="110"/>
      <c r="C16" s="111"/>
      <c r="D16" s="106"/>
      <c r="E16" s="119"/>
      <c r="F16" s="106"/>
      <c r="G16" s="108"/>
    </row>
    <row r="17" spans="2:7">
      <c r="B17" s="113"/>
      <c r="C17" s="114"/>
      <c r="D17" s="106"/>
      <c r="E17" s="120">
        <v>24.69</v>
      </c>
      <c r="F17" s="106" t="s">
        <v>422</v>
      </c>
      <c r="G17" s="108"/>
    </row>
    <row r="18" spans="2:7">
      <c r="B18" s="113"/>
      <c r="C18" s="114"/>
      <c r="D18" s="106"/>
      <c r="E18" s="117"/>
      <c r="F18" s="106"/>
      <c r="G18" s="108"/>
    </row>
    <row r="19" spans="2:7">
      <c r="B19" s="110"/>
      <c r="C19" s="111" t="s">
        <v>423</v>
      </c>
      <c r="D19" s="106" t="s">
        <v>424</v>
      </c>
      <c r="E19" s="181">
        <f>IF(E15=1,ROUNDDOWN((E11-E13)*E17*0.01,-3),ROUNDDOWN((E11-E13)*E17*0.01/(1+E17*0.01),-3))</f>
        <v>19801000</v>
      </c>
      <c r="F19" s="106" t="s">
        <v>425</v>
      </c>
      <c r="G19" s="108"/>
    </row>
    <row r="20" spans="2:7">
      <c r="B20" s="105"/>
      <c r="C20" s="106"/>
      <c r="D20" s="106"/>
      <c r="E20" s="121"/>
      <c r="F20" s="106"/>
      <c r="G20" s="108"/>
    </row>
    <row r="21" spans="2:7">
      <c r="B21" s="105"/>
      <c r="C21" s="106"/>
      <c r="D21" s="106" t="s">
        <v>426</v>
      </c>
      <c r="E21" s="181">
        <f>E11-E19</f>
        <v>80199000</v>
      </c>
      <c r="F21" s="106" t="s">
        <v>427</v>
      </c>
      <c r="G21" s="108"/>
    </row>
    <row r="22" spans="2:7" hidden="1">
      <c r="B22" s="105"/>
      <c r="C22" s="106"/>
      <c r="D22" s="106"/>
      <c r="E22" s="122"/>
      <c r="F22" s="106"/>
      <c r="G22" s="108"/>
    </row>
    <row r="23" spans="2:7" hidden="1">
      <c r="B23" s="105"/>
      <c r="C23" s="106"/>
      <c r="D23" s="106" t="s">
        <v>428</v>
      </c>
      <c r="E23" s="123">
        <f>E19/E21</f>
        <v>0.24689834037830896</v>
      </c>
      <c r="F23" s="106" t="s">
        <v>429</v>
      </c>
      <c r="G23" s="108"/>
    </row>
    <row r="24" spans="2:7" ht="17.5" thickBot="1">
      <c r="B24" s="124"/>
      <c r="C24" s="125"/>
      <c r="D24" s="125"/>
      <c r="E24" s="125"/>
      <c r="F24" s="125"/>
      <c r="G24" s="126"/>
    </row>
    <row r="25" spans="2:7">
      <c r="G25" s="100"/>
    </row>
    <row r="26" spans="2:7">
      <c r="B26" s="1101" t="s">
        <v>430</v>
      </c>
      <c r="C26" s="1101"/>
      <c r="D26" s="1101"/>
      <c r="E26" s="1101"/>
      <c r="F26" s="1101"/>
      <c r="G26" s="1101"/>
    </row>
    <row r="27" spans="2:7" ht="16.5" customHeight="1">
      <c r="B27" s="1317" t="s">
        <v>1570</v>
      </c>
      <c r="C27" s="1318"/>
      <c r="D27" s="1318"/>
      <c r="E27" s="1318"/>
      <c r="F27" s="1318"/>
      <c r="G27" s="1319"/>
    </row>
    <row r="28" spans="2:7">
      <c r="B28" s="1320"/>
      <c r="C28" s="1321"/>
      <c r="D28" s="1321"/>
      <c r="E28" s="1321"/>
      <c r="F28" s="1321"/>
      <c r="G28" s="1322"/>
    </row>
    <row r="29" spans="2:7">
      <c r="B29" s="1320"/>
      <c r="C29" s="1321"/>
      <c r="D29" s="1321"/>
      <c r="E29" s="1321"/>
      <c r="F29" s="1321"/>
      <c r="G29" s="1322"/>
    </row>
    <row r="30" spans="2:7">
      <c r="B30" s="1320"/>
      <c r="C30" s="1321"/>
      <c r="D30" s="1321"/>
      <c r="E30" s="1321"/>
      <c r="F30" s="1321"/>
      <c r="G30" s="1322"/>
    </row>
    <row r="31" spans="2:7">
      <c r="B31" s="1320"/>
      <c r="C31" s="1321"/>
      <c r="D31" s="1321"/>
      <c r="E31" s="1321"/>
      <c r="F31" s="1321"/>
      <c r="G31" s="1322"/>
    </row>
    <row r="32" spans="2:7" ht="30.75" customHeight="1">
      <c r="B32" s="1323"/>
      <c r="C32" s="1324"/>
      <c r="D32" s="1324"/>
      <c r="E32" s="1324"/>
      <c r="F32" s="1324"/>
      <c r="G32" s="1325"/>
    </row>
  </sheetData>
  <mergeCells count="5">
    <mergeCell ref="B2:G3"/>
    <mergeCell ref="B5:G5"/>
    <mergeCell ref="B6:G6"/>
    <mergeCell ref="B26:G26"/>
    <mergeCell ref="B27:G32"/>
  </mergeCells>
  <phoneticPr fontId="4" type="noConversion"/>
  <dataValidations count="1">
    <dataValidation type="list" allowBlank="1" showInputMessage="1" showErrorMessage="1" sqref="E9" xr:uid="{00000000-0002-0000-1000-000000000000}">
      <formula1>"국가연구개발사업 간접비, 용역사업 일반관리비, 민간사업 간접비"</formula1>
    </dataValidation>
  </dataValidations>
  <pageMargins left="0.7" right="0.7" top="0.75" bottom="0.75" header="0.3" footer="0.3"/>
  <pageSetup paperSize="9" scale="7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Option Button 1">
              <controlPr defaultSize="0" autoFill="0" autoLine="0" autoPict="0">
                <anchor moveWithCells="1">
                  <from>
                    <xdr:col>4</xdr:col>
                    <xdr:colOff>1200150</xdr:colOff>
                    <xdr:row>13</xdr:row>
                    <xdr:rowOff>203200</xdr:rowOff>
                  </from>
                  <to>
                    <xdr:col>4</xdr:col>
                    <xdr:colOff>1670050</xdr:colOff>
                    <xdr:row>15</xdr:row>
                    <xdr:rowOff>12700</xdr:rowOff>
                  </to>
                </anchor>
              </controlPr>
            </control>
          </mc:Choice>
        </mc:AlternateContent>
        <mc:AlternateContent xmlns:mc="http://schemas.openxmlformats.org/markup-compatibility/2006">
          <mc:Choice Requires="x14">
            <control shapeId="15362" r:id="rId5" name="Option Button 2">
              <controlPr defaultSize="0" autoFill="0" autoLine="0" autoPict="0">
                <anchor moveWithCells="1">
                  <from>
                    <xdr:col>3</xdr:col>
                    <xdr:colOff>3136900</xdr:colOff>
                    <xdr:row>13</xdr:row>
                    <xdr:rowOff>203200</xdr:rowOff>
                  </from>
                  <to>
                    <xdr:col>4</xdr:col>
                    <xdr:colOff>1047750</xdr:colOff>
                    <xdr:row>15</xdr:row>
                    <xdr:rowOff>12700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rgb="FF7030A0"/>
  </sheetPr>
  <dimension ref="A1:L40"/>
  <sheetViews>
    <sheetView showGridLines="0" view="pageBreakPreview" topLeftCell="B1" zoomScale="70" zoomScaleNormal="100" zoomScaleSheetLayoutView="70" workbookViewId="0">
      <selection activeCell="J20" sqref="J20:K20"/>
    </sheetView>
  </sheetViews>
  <sheetFormatPr defaultRowHeight="17"/>
  <cols>
    <col min="1" max="1" width="13.4140625" style="290" hidden="1" customWidth="1"/>
    <col min="2" max="2" width="12" customWidth="1"/>
    <col min="3" max="3" width="36.33203125" customWidth="1"/>
    <col min="4" max="4" width="4.25" customWidth="1"/>
    <col min="5" max="5" width="7.25" customWidth="1"/>
    <col min="6" max="6" width="8.08203125" customWidth="1"/>
    <col min="7" max="7" width="4.25" customWidth="1"/>
    <col min="8" max="8" width="11.9140625" style="330" customWidth="1"/>
    <col min="9" max="9" width="5.75" style="330" customWidth="1"/>
    <col min="10" max="10" width="6.6640625" style="330" customWidth="1"/>
    <col min="11" max="11" width="13.9140625" style="330" customWidth="1"/>
    <col min="12" max="12" width="17.33203125" style="330" customWidth="1"/>
  </cols>
  <sheetData>
    <row r="1" spans="1:12" ht="51.75" customHeight="1">
      <c r="B1" s="1389" t="s">
        <v>1057</v>
      </c>
      <c r="C1" s="1389"/>
      <c r="D1" s="1389"/>
      <c r="E1" s="1389"/>
      <c r="F1" s="1389"/>
      <c r="G1" s="1389"/>
      <c r="H1" s="1389"/>
      <c r="I1" s="1389"/>
      <c r="J1" s="1389"/>
      <c r="K1" s="1389"/>
      <c r="L1" s="1389"/>
    </row>
    <row r="2" spans="1:12">
      <c r="B2" s="1374"/>
      <c r="C2" s="1374"/>
      <c r="D2" s="1374"/>
      <c r="E2" s="1374"/>
      <c r="F2" s="1374"/>
      <c r="G2" s="1374"/>
      <c r="H2" s="1374"/>
      <c r="I2" s="1374"/>
      <c r="J2" s="1374"/>
      <c r="K2" s="1374"/>
      <c r="L2" s="1374"/>
    </row>
    <row r="3" spans="1:12" ht="17.5" thickBot="1">
      <c r="B3" s="1374"/>
      <c r="C3" s="1374"/>
      <c r="D3" s="1374"/>
      <c r="E3" s="1374"/>
      <c r="F3" s="1374"/>
      <c r="G3" s="1374"/>
      <c r="H3" s="1374"/>
      <c r="I3" s="1374"/>
      <c r="J3" s="1374"/>
      <c r="K3" s="1374"/>
      <c r="L3" s="1374"/>
    </row>
    <row r="4" spans="1:12" ht="25" customHeight="1">
      <c r="B4" s="1390" t="s">
        <v>1058</v>
      </c>
      <c r="C4" s="1391"/>
      <c r="D4" s="1392"/>
      <c r="E4" s="1393"/>
      <c r="F4" s="1394" t="s">
        <v>1059</v>
      </c>
      <c r="G4" s="1395"/>
      <c r="H4" s="1395"/>
      <c r="I4" s="1395"/>
      <c r="J4" s="1395"/>
      <c r="K4" s="1395"/>
      <c r="L4" s="1396"/>
    </row>
    <row r="5" spans="1:12" ht="25" customHeight="1">
      <c r="B5" s="291" t="s">
        <v>1060</v>
      </c>
      <c r="C5" s="1397" t="s">
        <v>1061</v>
      </c>
      <c r="D5" s="1398"/>
      <c r="E5" s="1393"/>
      <c r="F5" s="1399" t="s">
        <v>1060</v>
      </c>
      <c r="G5" s="1400"/>
      <c r="H5" s="1401" t="s">
        <v>1597</v>
      </c>
      <c r="I5" s="1402"/>
      <c r="J5" s="1402"/>
      <c r="K5" s="1402"/>
      <c r="L5" s="1403"/>
    </row>
    <row r="6" spans="1:12" ht="25" customHeight="1">
      <c r="B6" s="291" t="s">
        <v>1062</v>
      </c>
      <c r="C6" s="1397" t="s">
        <v>1058</v>
      </c>
      <c r="D6" s="1398"/>
      <c r="E6" s="1393"/>
      <c r="F6" s="1399" t="s">
        <v>1062</v>
      </c>
      <c r="G6" s="1400"/>
      <c r="H6" s="1401" t="s">
        <v>1598</v>
      </c>
      <c r="I6" s="1404"/>
      <c r="J6" s="581" t="s">
        <v>1063</v>
      </c>
      <c r="K6" s="1405" t="s">
        <v>1599</v>
      </c>
      <c r="L6" s="1406"/>
    </row>
    <row r="7" spans="1:12" ht="25" customHeight="1">
      <c r="B7" s="291" t="s">
        <v>1063</v>
      </c>
      <c r="C7" s="1407" t="s">
        <v>1596</v>
      </c>
      <c r="D7" s="1408"/>
      <c r="E7" s="1393"/>
      <c r="F7" s="1399" t="s">
        <v>1064</v>
      </c>
      <c r="G7" s="1400"/>
      <c r="H7" s="1401" t="s">
        <v>1600</v>
      </c>
      <c r="I7" s="1402"/>
      <c r="J7" s="1402"/>
      <c r="K7" s="1402"/>
      <c r="L7" s="1403"/>
    </row>
    <row r="8" spans="1:12" ht="25" customHeight="1" thickBot="1">
      <c r="B8" s="292" t="s">
        <v>1064</v>
      </c>
      <c r="C8" s="1382" t="s">
        <v>1065</v>
      </c>
      <c r="D8" s="1383"/>
      <c r="E8" s="1393"/>
      <c r="F8" s="1384" t="s">
        <v>1066</v>
      </c>
      <c r="G8" s="1385"/>
      <c r="H8" s="1386" t="s">
        <v>1601</v>
      </c>
      <c r="I8" s="1387"/>
      <c r="J8" s="293" t="s">
        <v>1067</v>
      </c>
      <c r="K8" s="1386" t="s">
        <v>1602</v>
      </c>
      <c r="L8" s="1388"/>
    </row>
    <row r="9" spans="1:12">
      <c r="B9" s="1374"/>
      <c r="C9" s="1374"/>
      <c r="D9" s="1374"/>
      <c r="E9" s="1374"/>
      <c r="F9" s="1374"/>
      <c r="G9" s="1374"/>
      <c r="H9" s="1374"/>
      <c r="I9" s="1376" t="s">
        <v>1068</v>
      </c>
      <c r="J9" s="1376"/>
      <c r="K9" s="1379" t="s">
        <v>1603</v>
      </c>
      <c r="L9" s="1379"/>
    </row>
    <row r="10" spans="1:12" ht="16.5" customHeight="1">
      <c r="B10" s="1374"/>
      <c r="C10" s="1374"/>
      <c r="D10" s="1374"/>
      <c r="E10" s="1374"/>
      <c r="F10" s="1374"/>
      <c r="G10" s="1374"/>
      <c r="H10" s="1374"/>
      <c r="I10" s="1377"/>
      <c r="J10" s="1377"/>
      <c r="K10" s="1380"/>
      <c r="L10" s="1380"/>
    </row>
    <row r="11" spans="1:12" ht="17.5" thickBot="1">
      <c r="A11" s="294" t="s">
        <v>1069</v>
      </c>
      <c r="B11" s="1375"/>
      <c r="C11" s="1375"/>
      <c r="D11" s="1375"/>
      <c r="E11" s="1375"/>
      <c r="F11" s="1375"/>
      <c r="G11" s="1375"/>
      <c r="H11" s="1375"/>
      <c r="I11" s="1378"/>
      <c r="J11" s="1378"/>
      <c r="K11" s="1381"/>
      <c r="L11" s="1381"/>
    </row>
    <row r="12" spans="1:12" ht="33.75" customHeight="1">
      <c r="B12" s="295" t="s">
        <v>1070</v>
      </c>
      <c r="C12" s="1369" t="s">
        <v>1071</v>
      </c>
      <c r="D12" s="1370"/>
      <c r="E12" s="296" t="s">
        <v>1072</v>
      </c>
      <c r="F12" s="297" t="s">
        <v>1073</v>
      </c>
      <c r="G12" s="1371" t="s">
        <v>1074</v>
      </c>
      <c r="H12" s="1371"/>
      <c r="I12" s="1371"/>
      <c r="J12" s="1372" t="s">
        <v>1075</v>
      </c>
      <c r="K12" s="1373"/>
      <c r="L12" s="298" t="s">
        <v>1076</v>
      </c>
    </row>
    <row r="13" spans="1:12" ht="40.5" customHeight="1">
      <c r="B13" s="299"/>
      <c r="C13" s="1362" t="s">
        <v>1604</v>
      </c>
      <c r="D13" s="1363"/>
      <c r="E13" s="300">
        <v>2</v>
      </c>
      <c r="F13" s="301" t="s">
        <v>1608</v>
      </c>
      <c r="G13" s="1364">
        <v>2800000</v>
      </c>
      <c r="H13" s="1365"/>
      <c r="I13" s="1366"/>
      <c r="J13" s="1367">
        <f>IF(E13*G13&gt;0, (E13*G13), "")</f>
        <v>5600000</v>
      </c>
      <c r="K13" s="1368"/>
      <c r="L13" s="302">
        <f t="shared" ref="L13:L26" si="0">IF((E13*G13)&gt;0, TRUNC((J13*10%),1), "")</f>
        <v>560000</v>
      </c>
    </row>
    <row r="14" spans="1:12" ht="40.5" customHeight="1">
      <c r="A14" s="303" t="str">
        <f>IF(ISNUMBER(G13),(IF(COUNTA($G$13:$I$26)=1,"END","")),"")</f>
        <v/>
      </c>
      <c r="B14" s="304"/>
      <c r="C14" s="1362" t="s">
        <v>1605</v>
      </c>
      <c r="D14" s="1363"/>
      <c r="E14" s="305">
        <v>1</v>
      </c>
      <c r="F14" s="306" t="s">
        <v>1608</v>
      </c>
      <c r="G14" s="1364">
        <v>1360000</v>
      </c>
      <c r="H14" s="1365"/>
      <c r="I14" s="1366"/>
      <c r="J14" s="1367">
        <f>IF(E14*G14&gt;0, (E14*G14), "")</f>
        <v>1360000</v>
      </c>
      <c r="K14" s="1368"/>
      <c r="L14" s="302">
        <f t="shared" si="0"/>
        <v>136000</v>
      </c>
    </row>
    <row r="15" spans="1:12" ht="40.5" customHeight="1">
      <c r="A15" s="303" t="str">
        <f>IF(ISNUMBER(G14),(IF(COUNTA($G$13:$I$26)=2,"END","")),"")</f>
        <v/>
      </c>
      <c r="B15" s="299"/>
      <c r="C15" s="1362" t="s">
        <v>1605</v>
      </c>
      <c r="D15" s="1363"/>
      <c r="E15" s="305">
        <v>1</v>
      </c>
      <c r="F15" s="305" t="s">
        <v>1608</v>
      </c>
      <c r="G15" s="1364">
        <v>1280000</v>
      </c>
      <c r="H15" s="1365"/>
      <c r="I15" s="1366"/>
      <c r="J15" s="1367">
        <f t="shared" ref="J15:J26" si="1">IF(E15*G15&gt;0, (E15*G15), "")</f>
        <v>1280000</v>
      </c>
      <c r="K15" s="1368"/>
      <c r="L15" s="302">
        <f t="shared" si="0"/>
        <v>128000</v>
      </c>
    </row>
    <row r="16" spans="1:12" ht="40.5" customHeight="1">
      <c r="A16" s="303" t="str">
        <f>IF(ISNUMBER(G15),(IF(COUNTA($G$13:$I$26)=3,"END","")),"")</f>
        <v/>
      </c>
      <c r="B16" s="307"/>
      <c r="C16" s="1362" t="s">
        <v>1606</v>
      </c>
      <c r="D16" s="1363"/>
      <c r="E16" s="305">
        <v>1</v>
      </c>
      <c r="F16" s="580" t="s">
        <v>1609</v>
      </c>
      <c r="G16" s="1364">
        <v>130000</v>
      </c>
      <c r="H16" s="1365"/>
      <c r="I16" s="1366"/>
      <c r="J16" s="1367">
        <f>IF(E16*G16&gt;0, (E16*G16), "")</f>
        <v>130000</v>
      </c>
      <c r="K16" s="1368"/>
      <c r="L16" s="302">
        <f t="shared" si="0"/>
        <v>13000</v>
      </c>
    </row>
    <row r="17" spans="1:12" ht="40.5" customHeight="1">
      <c r="A17" s="303" t="str">
        <f>IF(ISNUMBER(G16),(IF(COUNTA($G$13:$I$26)=4,"END","")),"")</f>
        <v/>
      </c>
      <c r="B17" s="299"/>
      <c r="C17" s="1362" t="s">
        <v>1606</v>
      </c>
      <c r="D17" s="1363"/>
      <c r="E17" s="305">
        <v>2</v>
      </c>
      <c r="F17" s="580" t="s">
        <v>1609</v>
      </c>
      <c r="G17" s="1364">
        <v>70000</v>
      </c>
      <c r="H17" s="1365"/>
      <c r="I17" s="1366"/>
      <c r="J17" s="1367">
        <f t="shared" si="1"/>
        <v>140000</v>
      </c>
      <c r="K17" s="1368"/>
      <c r="L17" s="302">
        <f t="shared" si="0"/>
        <v>14000</v>
      </c>
    </row>
    <row r="18" spans="1:12" ht="40.5" customHeight="1">
      <c r="A18" s="303" t="str">
        <f>IF(ISNUMBER(G17),(IF(COUNTA($G$13:$I$26)=5,"END","")),"")</f>
        <v/>
      </c>
      <c r="B18" s="299"/>
      <c r="C18" s="1362" t="s">
        <v>1606</v>
      </c>
      <c r="D18" s="1363"/>
      <c r="E18" s="305">
        <v>1</v>
      </c>
      <c r="F18" s="580" t="s">
        <v>1609</v>
      </c>
      <c r="G18" s="1364">
        <v>130000</v>
      </c>
      <c r="H18" s="1365"/>
      <c r="I18" s="1366"/>
      <c r="J18" s="1367">
        <f t="shared" si="1"/>
        <v>130000</v>
      </c>
      <c r="K18" s="1368"/>
      <c r="L18" s="302">
        <f t="shared" si="0"/>
        <v>13000</v>
      </c>
    </row>
    <row r="19" spans="1:12" ht="40.5" customHeight="1">
      <c r="A19" s="303" t="str">
        <f>IF(ISNUMBER(G18),(IF(COUNTA($G$13:$I$26)=6,"END","")),"")</f>
        <v/>
      </c>
      <c r="B19" s="299"/>
      <c r="C19" s="1362" t="s">
        <v>1606</v>
      </c>
      <c r="D19" s="1363"/>
      <c r="E19" s="305">
        <v>1</v>
      </c>
      <c r="F19" s="580" t="s">
        <v>1609</v>
      </c>
      <c r="G19" s="1364">
        <v>130000</v>
      </c>
      <c r="H19" s="1365"/>
      <c r="I19" s="1366"/>
      <c r="J19" s="1367">
        <f t="shared" si="1"/>
        <v>130000</v>
      </c>
      <c r="K19" s="1368"/>
      <c r="L19" s="302">
        <f t="shared" si="0"/>
        <v>13000</v>
      </c>
    </row>
    <row r="20" spans="1:12" ht="40.5" customHeight="1">
      <c r="A20" s="303" t="str">
        <f>IF(ISNUMBER(G19),(IF(COUNTA($G$13:$I$26)=7,"END","")),"")</f>
        <v/>
      </c>
      <c r="B20" s="299"/>
      <c r="C20" s="1362" t="s">
        <v>1606</v>
      </c>
      <c r="D20" s="1363"/>
      <c r="E20" s="305">
        <v>1</v>
      </c>
      <c r="F20" s="580" t="s">
        <v>1609</v>
      </c>
      <c r="G20" s="1364">
        <v>170000</v>
      </c>
      <c r="H20" s="1365"/>
      <c r="I20" s="1366"/>
      <c r="J20" s="1367">
        <f t="shared" si="1"/>
        <v>170000</v>
      </c>
      <c r="K20" s="1368"/>
      <c r="L20" s="302">
        <f t="shared" si="0"/>
        <v>17000</v>
      </c>
    </row>
    <row r="21" spans="1:12" ht="40.5" customHeight="1">
      <c r="A21" s="303" t="str">
        <f>IF(ISNUMBER(G20),(IF(COUNTA($G$13:$I$26)=8,"END","")),"")</f>
        <v/>
      </c>
      <c r="B21" s="299"/>
      <c r="C21" s="1362" t="s">
        <v>1606</v>
      </c>
      <c r="D21" s="1363"/>
      <c r="E21" s="305">
        <v>6</v>
      </c>
      <c r="F21" s="580" t="s">
        <v>1609</v>
      </c>
      <c r="G21" s="1364">
        <v>130000</v>
      </c>
      <c r="H21" s="1365"/>
      <c r="I21" s="1366"/>
      <c r="J21" s="1367">
        <f t="shared" si="1"/>
        <v>780000</v>
      </c>
      <c r="K21" s="1368"/>
      <c r="L21" s="302">
        <f t="shared" si="0"/>
        <v>78000</v>
      </c>
    </row>
    <row r="22" spans="1:12" ht="40.5" customHeight="1">
      <c r="A22" s="303" t="str">
        <f>IF(ISNUMBER(G21),(IF(COUNTA($G$13:$I$26)=9,"END","")),"")</f>
        <v/>
      </c>
      <c r="B22" s="299"/>
      <c r="C22" s="1362" t="s">
        <v>1606</v>
      </c>
      <c r="D22" s="1363"/>
      <c r="E22" s="305">
        <v>5</v>
      </c>
      <c r="F22" s="580" t="s">
        <v>1609</v>
      </c>
      <c r="G22" s="1364">
        <v>130000</v>
      </c>
      <c r="H22" s="1365"/>
      <c r="I22" s="1366"/>
      <c r="J22" s="1367">
        <f t="shared" si="1"/>
        <v>650000</v>
      </c>
      <c r="K22" s="1368"/>
      <c r="L22" s="302">
        <f t="shared" si="0"/>
        <v>65000</v>
      </c>
    </row>
    <row r="23" spans="1:12" ht="40.5" customHeight="1">
      <c r="A23" s="303" t="str">
        <f>IF(ISNUMBER(G22),(IF(COUNTA($G$13:$I$26)=10,"END","")),"")</f>
        <v/>
      </c>
      <c r="B23" s="299"/>
      <c r="C23" s="1362" t="s">
        <v>1606</v>
      </c>
      <c r="D23" s="1363"/>
      <c r="E23" s="305">
        <v>4</v>
      </c>
      <c r="F23" s="580" t="s">
        <v>1609</v>
      </c>
      <c r="G23" s="1364">
        <v>170000</v>
      </c>
      <c r="H23" s="1365"/>
      <c r="I23" s="1366"/>
      <c r="J23" s="1367">
        <f t="shared" si="1"/>
        <v>680000</v>
      </c>
      <c r="K23" s="1368"/>
      <c r="L23" s="302">
        <f t="shared" si="0"/>
        <v>68000</v>
      </c>
    </row>
    <row r="24" spans="1:12" ht="40.5" customHeight="1">
      <c r="A24" s="303" t="str">
        <f>IF(ISNUMBER(G23),(IF(COUNTA($G$13:$I$26)=11,"END","")),"")</f>
        <v/>
      </c>
      <c r="B24" s="299"/>
      <c r="C24" s="1362" t="s">
        <v>1606</v>
      </c>
      <c r="D24" s="1363"/>
      <c r="E24" s="305">
        <v>7</v>
      </c>
      <c r="F24" s="580" t="s">
        <v>1609</v>
      </c>
      <c r="G24" s="1364">
        <v>70000</v>
      </c>
      <c r="H24" s="1365"/>
      <c r="I24" s="1366"/>
      <c r="J24" s="1367">
        <f t="shared" si="1"/>
        <v>490000</v>
      </c>
      <c r="K24" s="1368"/>
      <c r="L24" s="302">
        <f t="shared" si="0"/>
        <v>49000</v>
      </c>
    </row>
    <row r="25" spans="1:12" ht="40.5" customHeight="1">
      <c r="A25" s="303" t="str">
        <f>IF(ISNUMBER(G24),(IF(COUNTA($G$13:$I$26)=12,"END","")),"")</f>
        <v/>
      </c>
      <c r="B25" s="299"/>
      <c r="C25" s="1362" t="s">
        <v>1606</v>
      </c>
      <c r="D25" s="1363"/>
      <c r="E25" s="305">
        <v>2</v>
      </c>
      <c r="F25" s="580" t="s">
        <v>1609</v>
      </c>
      <c r="G25" s="1364">
        <v>170000</v>
      </c>
      <c r="H25" s="1365"/>
      <c r="I25" s="1366"/>
      <c r="J25" s="1367">
        <f t="shared" si="1"/>
        <v>340000</v>
      </c>
      <c r="K25" s="1368"/>
      <c r="L25" s="302">
        <f t="shared" si="0"/>
        <v>34000</v>
      </c>
    </row>
    <row r="26" spans="1:12" ht="40.5" customHeight="1" thickBot="1">
      <c r="A26" s="303" t="str">
        <f>IF(ISNUMBER(G25),(IF(COUNTA($G$13:$I$26)=13,"END","")),"")</f>
        <v/>
      </c>
      <c r="B26" s="308"/>
      <c r="C26" s="1326" t="s">
        <v>1607</v>
      </c>
      <c r="D26" s="1327"/>
      <c r="E26" s="309">
        <v>1</v>
      </c>
      <c r="F26" s="310" t="s">
        <v>1608</v>
      </c>
      <c r="G26" s="1328">
        <v>1020000</v>
      </c>
      <c r="H26" s="1329"/>
      <c r="I26" s="1330"/>
      <c r="J26" s="1331">
        <f t="shared" si="1"/>
        <v>1020000</v>
      </c>
      <c r="K26" s="1332"/>
      <c r="L26" s="302">
        <f t="shared" si="0"/>
        <v>102000</v>
      </c>
    </row>
    <row r="27" spans="1:12" ht="33.75" customHeight="1">
      <c r="A27" s="303" t="str">
        <f>IF(ISNUMBER(G26),(IF(COUNTA($G$13:$I$26)=1,"END","")),"")</f>
        <v/>
      </c>
      <c r="B27" s="1337"/>
      <c r="C27" s="1337"/>
      <c r="D27" s="1337"/>
      <c r="E27" s="1337"/>
      <c r="F27" s="1337"/>
      <c r="G27" s="1337"/>
      <c r="H27" s="1337"/>
      <c r="I27" s="1337"/>
      <c r="J27" s="1337"/>
      <c r="K27" s="1337"/>
      <c r="L27" s="1337"/>
    </row>
    <row r="28" spans="1:12" ht="17.5" thickBot="1">
      <c r="B28" s="1338"/>
      <c r="C28" s="1338"/>
      <c r="D28" s="1338"/>
      <c r="E28" s="1338"/>
      <c r="F28" s="1338"/>
      <c r="G28" s="1338"/>
      <c r="H28" s="1338"/>
      <c r="I28" s="1338"/>
      <c r="J28" s="1338"/>
      <c r="K28" s="1338"/>
      <c r="L28" s="1338"/>
    </row>
    <row r="29" spans="1:12" ht="37.5" customHeight="1" thickBot="1">
      <c r="B29" s="311" t="s">
        <v>1075</v>
      </c>
      <c r="C29" s="1339">
        <f>SUM(J13:J26)</f>
        <v>12900000</v>
      </c>
      <c r="D29" s="1340"/>
      <c r="E29" s="312" t="s">
        <v>1076</v>
      </c>
      <c r="F29" s="1339">
        <f>SUM(L13:L26)</f>
        <v>1290000</v>
      </c>
      <c r="G29" s="1341"/>
      <c r="H29" s="1340"/>
      <c r="I29" s="313" t="s">
        <v>1077</v>
      </c>
      <c r="J29" s="1342">
        <f>SUM(C29,F29)</f>
        <v>14190000</v>
      </c>
      <c r="K29" s="1341"/>
      <c r="L29" s="1343"/>
    </row>
    <row r="30" spans="1:12">
      <c r="B30" s="1344"/>
      <c r="C30" s="1344"/>
      <c r="D30" s="1344"/>
      <c r="E30" s="1344"/>
      <c r="F30" s="1344"/>
      <c r="G30" s="1344"/>
      <c r="H30" s="1344"/>
      <c r="I30" s="1344"/>
      <c r="J30" s="1344"/>
      <c r="K30" s="1344"/>
      <c r="L30" s="1344"/>
    </row>
    <row r="31" spans="1:12" ht="17.5" thickBot="1">
      <c r="B31" s="1345"/>
      <c r="C31" s="1345"/>
      <c r="D31" s="1345"/>
      <c r="E31" s="1345"/>
      <c r="F31" s="1345"/>
      <c r="G31" s="1345"/>
      <c r="H31" s="1345"/>
      <c r="I31" s="1345"/>
      <c r="J31" s="1345"/>
      <c r="K31" s="1345"/>
      <c r="L31" s="1345"/>
    </row>
    <row r="32" spans="1:12" ht="33.75" customHeight="1">
      <c r="B32" s="314" t="s">
        <v>1078</v>
      </c>
      <c r="C32" s="315" t="s">
        <v>1611</v>
      </c>
      <c r="D32" s="1346"/>
      <c r="E32" s="1347"/>
      <c r="F32" s="1348" t="s">
        <v>1079</v>
      </c>
      <c r="G32" s="1350" t="s">
        <v>1617</v>
      </c>
      <c r="H32" s="1351"/>
      <c r="I32" s="1354" t="s">
        <v>1080</v>
      </c>
      <c r="J32" s="1355"/>
      <c r="K32" s="316"/>
      <c r="L32" s="317"/>
    </row>
    <row r="33" spans="2:12" ht="33.75" customHeight="1">
      <c r="B33" s="318" t="s">
        <v>1081</v>
      </c>
      <c r="C33" s="319" t="s">
        <v>1610</v>
      </c>
      <c r="D33" s="1346"/>
      <c r="E33" s="1347"/>
      <c r="F33" s="1349"/>
      <c r="G33" s="1352"/>
      <c r="H33" s="1353"/>
      <c r="I33" s="1356"/>
      <c r="J33" s="1357"/>
      <c r="K33" s="320" t="s">
        <v>1616</v>
      </c>
      <c r="L33" s="321" t="s">
        <v>143</v>
      </c>
    </row>
    <row r="34" spans="2:12" ht="33.75" customHeight="1">
      <c r="B34" s="318" t="s">
        <v>1082</v>
      </c>
      <c r="C34" s="319" t="s">
        <v>1612</v>
      </c>
      <c r="D34" s="1346"/>
      <c r="E34" s="1347"/>
      <c r="F34" s="1360" t="s">
        <v>1083</v>
      </c>
      <c r="G34" s="1333" t="s">
        <v>1614</v>
      </c>
      <c r="H34" s="1334"/>
      <c r="I34" s="1356"/>
      <c r="J34" s="1357"/>
      <c r="K34" s="320" t="s">
        <v>1615</v>
      </c>
      <c r="L34" s="321" t="s">
        <v>143</v>
      </c>
    </row>
    <row r="35" spans="2:12" ht="33.75" customHeight="1" thickBot="1">
      <c r="B35" s="322" t="s">
        <v>1084</v>
      </c>
      <c r="C35" s="323" t="s">
        <v>1613</v>
      </c>
      <c r="D35" s="1346"/>
      <c r="E35" s="1347"/>
      <c r="F35" s="1361"/>
      <c r="G35" s="1335"/>
      <c r="H35" s="1336"/>
      <c r="I35" s="1358"/>
      <c r="J35" s="1359"/>
      <c r="K35" s="324"/>
      <c r="L35" s="325"/>
    </row>
    <row r="36" spans="2:12" ht="33.75" customHeight="1">
      <c r="B36" s="326"/>
      <c r="C36" s="327"/>
      <c r="D36" s="327"/>
      <c r="E36" s="328"/>
      <c r="F36" s="328"/>
      <c r="G36" s="328"/>
      <c r="H36" s="329"/>
      <c r="L36" s="328"/>
    </row>
    <row r="37" spans="2:12">
      <c r="B37" s="331"/>
      <c r="C37" s="327"/>
      <c r="D37" s="327"/>
      <c r="E37" s="328"/>
      <c r="F37" s="328"/>
      <c r="G37" s="328"/>
      <c r="H37" s="329"/>
      <c r="L37" s="328"/>
    </row>
    <row r="38" spans="2:12">
      <c r="B38" s="332"/>
      <c r="C38" s="327"/>
      <c r="D38" s="327"/>
      <c r="E38" s="328"/>
      <c r="F38" s="328"/>
      <c r="G38" s="328"/>
      <c r="H38" s="329"/>
      <c r="L38" s="328"/>
    </row>
    <row r="39" spans="2:12">
      <c r="B39" s="332"/>
      <c r="C39" s="327"/>
      <c r="D39" s="327"/>
      <c r="E39" s="328"/>
      <c r="F39" s="328"/>
      <c r="G39" s="328"/>
      <c r="H39" s="329"/>
      <c r="L39" s="328"/>
    </row>
    <row r="40" spans="2:12">
      <c r="L40" s="329"/>
    </row>
  </sheetData>
  <mergeCells count="78">
    <mergeCell ref="B1:L1"/>
    <mergeCell ref="B2:L3"/>
    <mergeCell ref="B4:D4"/>
    <mergeCell ref="E4:E8"/>
    <mergeCell ref="F4:L4"/>
    <mergeCell ref="C5:D5"/>
    <mergeCell ref="F5:G5"/>
    <mergeCell ref="H5:L5"/>
    <mergeCell ref="C6:D6"/>
    <mergeCell ref="F6:G6"/>
    <mergeCell ref="H6:I6"/>
    <mergeCell ref="K6:L6"/>
    <mergeCell ref="C7:D7"/>
    <mergeCell ref="F7:G7"/>
    <mergeCell ref="H7:L7"/>
    <mergeCell ref="B9:H11"/>
    <mergeCell ref="I9:J11"/>
    <mergeCell ref="K9:L11"/>
    <mergeCell ref="C8:D8"/>
    <mergeCell ref="F8:G8"/>
    <mergeCell ref="H8:I8"/>
    <mergeCell ref="K8:L8"/>
    <mergeCell ref="C12:D12"/>
    <mergeCell ref="G12:I12"/>
    <mergeCell ref="J12:K12"/>
    <mergeCell ref="C13:D13"/>
    <mergeCell ref="G13:I13"/>
    <mergeCell ref="J13:K13"/>
    <mergeCell ref="C14:D14"/>
    <mergeCell ref="G14:I14"/>
    <mergeCell ref="J14:K14"/>
    <mergeCell ref="C15:D15"/>
    <mergeCell ref="G15:I15"/>
    <mergeCell ref="J15:K15"/>
    <mergeCell ref="C16:D16"/>
    <mergeCell ref="G16:I16"/>
    <mergeCell ref="J16:K16"/>
    <mergeCell ref="C17:D17"/>
    <mergeCell ref="G17:I17"/>
    <mergeCell ref="J17:K17"/>
    <mergeCell ref="C18:D18"/>
    <mergeCell ref="G18:I18"/>
    <mergeCell ref="J18:K18"/>
    <mergeCell ref="C19:D19"/>
    <mergeCell ref="G19:I19"/>
    <mergeCell ref="J19:K19"/>
    <mergeCell ref="C20:D20"/>
    <mergeCell ref="G20:I20"/>
    <mergeCell ref="J20:K20"/>
    <mergeCell ref="C21:D21"/>
    <mergeCell ref="G21:I21"/>
    <mergeCell ref="J21:K21"/>
    <mergeCell ref="C22:D22"/>
    <mergeCell ref="G22:I22"/>
    <mergeCell ref="J22:K22"/>
    <mergeCell ref="C23:D23"/>
    <mergeCell ref="G23:I23"/>
    <mergeCell ref="J23:K23"/>
    <mergeCell ref="C24:D24"/>
    <mergeCell ref="G24:I24"/>
    <mergeCell ref="J24:K24"/>
    <mergeCell ref="C25:D25"/>
    <mergeCell ref="G25:I25"/>
    <mergeCell ref="J25:K25"/>
    <mergeCell ref="C26:D26"/>
    <mergeCell ref="G26:I26"/>
    <mergeCell ref="J26:K26"/>
    <mergeCell ref="G34:H35"/>
    <mergeCell ref="B27:L28"/>
    <mergeCell ref="C29:D29"/>
    <mergeCell ref="F29:H29"/>
    <mergeCell ref="J29:L29"/>
    <mergeCell ref="B30:L31"/>
    <mergeCell ref="D32:E35"/>
    <mergeCell ref="F32:F33"/>
    <mergeCell ref="G32:H33"/>
    <mergeCell ref="I32:J35"/>
    <mergeCell ref="F34:F35"/>
  </mergeCells>
  <phoneticPr fontId="4" type="noConversion"/>
  <pageMargins left="0.7" right="0.7" top="0.75" bottom="0.75" header="0.3" footer="0.3"/>
  <pageSetup paperSize="9" scale="63"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sheetPr>
  <dimension ref="A1:E267"/>
  <sheetViews>
    <sheetView workbookViewId="0">
      <selection activeCell="E6" sqref="E6"/>
    </sheetView>
  </sheetViews>
  <sheetFormatPr defaultRowHeight="17"/>
  <cols>
    <col min="1" max="1" width="33.08203125" bestFit="1" customWidth="1"/>
    <col min="2" max="2" width="53.08203125" customWidth="1"/>
    <col min="3" max="3" width="12.33203125" bestFit="1" customWidth="1"/>
    <col min="5" max="5" width="35" bestFit="1" customWidth="1"/>
  </cols>
  <sheetData>
    <row r="1" spans="1:5">
      <c r="A1" t="s">
        <v>461</v>
      </c>
      <c r="B1" t="s">
        <v>793</v>
      </c>
      <c r="C1" t="s">
        <v>189</v>
      </c>
      <c r="D1" t="s">
        <v>794</v>
      </c>
      <c r="E1" t="s">
        <v>863</v>
      </c>
    </row>
    <row r="2" spans="1:5">
      <c r="A2" s="138" t="s">
        <v>462</v>
      </c>
      <c r="B2" s="138" t="s">
        <v>564</v>
      </c>
      <c r="C2" t="s">
        <v>799</v>
      </c>
      <c r="D2" t="s">
        <v>796</v>
      </c>
      <c r="E2" t="s">
        <v>860</v>
      </c>
    </row>
    <row r="3" spans="1:5">
      <c r="A3" s="138" t="s">
        <v>464</v>
      </c>
      <c r="B3" s="138" t="s">
        <v>454</v>
      </c>
      <c r="C3" t="s">
        <v>800</v>
      </c>
      <c r="D3" t="s">
        <v>797</v>
      </c>
      <c r="E3" t="s">
        <v>861</v>
      </c>
    </row>
    <row r="4" spans="1:5">
      <c r="A4" s="138" t="s">
        <v>466</v>
      </c>
      <c r="B4" s="138" t="s">
        <v>480</v>
      </c>
      <c r="C4" t="s">
        <v>801</v>
      </c>
      <c r="E4" t="s">
        <v>1579</v>
      </c>
    </row>
    <row r="5" spans="1:5">
      <c r="A5" s="138" t="s">
        <v>468</v>
      </c>
      <c r="B5" s="138" t="s">
        <v>518</v>
      </c>
      <c r="C5" t="s">
        <v>802</v>
      </c>
      <c r="E5" t="s">
        <v>1580</v>
      </c>
    </row>
    <row r="6" spans="1:5">
      <c r="A6" s="138" t="s">
        <v>470</v>
      </c>
      <c r="B6" s="138" t="s">
        <v>514</v>
      </c>
      <c r="C6" t="s">
        <v>803</v>
      </c>
      <c r="E6" t="s">
        <v>1581</v>
      </c>
    </row>
    <row r="7" spans="1:5">
      <c r="A7" s="138" t="s">
        <v>472</v>
      </c>
      <c r="B7" s="138" t="s">
        <v>520</v>
      </c>
      <c r="C7" t="s">
        <v>804</v>
      </c>
      <c r="E7" t="s">
        <v>862</v>
      </c>
    </row>
    <row r="8" spans="1:5">
      <c r="A8" s="138" t="s">
        <v>474</v>
      </c>
      <c r="B8" s="138" t="s">
        <v>510</v>
      </c>
      <c r="C8" t="s">
        <v>805</v>
      </c>
    </row>
    <row r="9" spans="1:5">
      <c r="A9" s="138" t="s">
        <v>451</v>
      </c>
      <c r="B9" s="138" t="s">
        <v>560</v>
      </c>
    </row>
    <row r="10" spans="1:5">
      <c r="A10" s="138" t="s">
        <v>477</v>
      </c>
      <c r="B10" s="138" t="s">
        <v>469</v>
      </c>
    </row>
    <row r="11" spans="1:5">
      <c r="A11" s="138" t="s">
        <v>479</v>
      </c>
      <c r="B11" s="138" t="s">
        <v>467</v>
      </c>
    </row>
    <row r="12" spans="1:5">
      <c r="A12" s="138" t="s">
        <v>481</v>
      </c>
      <c r="B12" s="138" t="s">
        <v>482</v>
      </c>
    </row>
    <row r="13" spans="1:5">
      <c r="A13" s="138" t="s">
        <v>483</v>
      </c>
      <c r="B13" s="138" t="s">
        <v>504</v>
      </c>
    </row>
    <row r="14" spans="1:5">
      <c r="A14" s="138" t="s">
        <v>485</v>
      </c>
      <c r="B14" s="138" t="s">
        <v>502</v>
      </c>
    </row>
    <row r="15" spans="1:5">
      <c r="A15" s="138" t="s">
        <v>487</v>
      </c>
      <c r="B15" s="138" t="s">
        <v>572</v>
      </c>
    </row>
    <row r="16" spans="1:5">
      <c r="A16" s="138" t="s">
        <v>489</v>
      </c>
      <c r="B16" s="138" t="s">
        <v>552</v>
      </c>
    </row>
    <row r="17" spans="1:2">
      <c r="A17" s="138" t="s">
        <v>491</v>
      </c>
      <c r="B17" s="138" t="s">
        <v>542</v>
      </c>
    </row>
    <row r="18" spans="1:2">
      <c r="A18" s="138" t="s">
        <v>493</v>
      </c>
      <c r="B18" s="138" t="s">
        <v>500</v>
      </c>
    </row>
    <row r="19" spans="1:2">
      <c r="A19" s="138" t="s">
        <v>495</v>
      </c>
      <c r="B19" s="138" t="s">
        <v>582</v>
      </c>
    </row>
    <row r="20" spans="1:2">
      <c r="A20" s="138" t="s">
        <v>497</v>
      </c>
      <c r="B20" s="138" t="s">
        <v>546</v>
      </c>
    </row>
    <row r="21" spans="1:2">
      <c r="A21" s="138" t="s">
        <v>499</v>
      </c>
      <c r="B21" s="138" t="s">
        <v>498</v>
      </c>
    </row>
    <row r="22" spans="1:2">
      <c r="A22" s="138" t="s">
        <v>501</v>
      </c>
      <c r="B22" s="138" t="s">
        <v>586</v>
      </c>
    </row>
    <row r="23" spans="1:2">
      <c r="A23" s="138" t="s">
        <v>503</v>
      </c>
      <c r="B23" s="138" t="s">
        <v>550</v>
      </c>
    </row>
    <row r="24" spans="1:2">
      <c r="A24" s="138" t="s">
        <v>505</v>
      </c>
      <c r="B24" s="138" t="s">
        <v>478</v>
      </c>
    </row>
    <row r="25" spans="1:2">
      <c r="A25" s="138" t="s">
        <v>507</v>
      </c>
      <c r="B25" s="138" t="s">
        <v>478</v>
      </c>
    </row>
    <row r="26" spans="1:2">
      <c r="A26" s="138" t="s">
        <v>509</v>
      </c>
      <c r="B26" s="138" t="s">
        <v>590</v>
      </c>
    </row>
    <row r="27" spans="1:2">
      <c r="A27" s="138" t="s">
        <v>511</v>
      </c>
      <c r="B27" s="138" t="s">
        <v>506</v>
      </c>
    </row>
    <row r="28" spans="1:2">
      <c r="A28" s="138" t="s">
        <v>513</v>
      </c>
      <c r="B28" s="138" t="s">
        <v>531</v>
      </c>
    </row>
    <row r="29" spans="1:2">
      <c r="A29" s="138" t="s">
        <v>515</v>
      </c>
      <c r="B29" s="138" t="s">
        <v>465</v>
      </c>
    </row>
    <row r="30" spans="1:2">
      <c r="A30" s="138" t="s">
        <v>517</v>
      </c>
      <c r="B30" s="138" t="s">
        <v>554</v>
      </c>
    </row>
    <row r="31" spans="1:2">
      <c r="A31" s="138" t="s">
        <v>519</v>
      </c>
      <c r="B31" s="138" t="s">
        <v>488</v>
      </c>
    </row>
    <row r="32" spans="1:2">
      <c r="A32" s="138" t="s">
        <v>521</v>
      </c>
      <c r="B32" s="138" t="s">
        <v>524</v>
      </c>
    </row>
    <row r="33" spans="1:2">
      <c r="A33" s="138" t="s">
        <v>523</v>
      </c>
      <c r="B33" s="138" t="s">
        <v>494</v>
      </c>
    </row>
    <row r="34" spans="1:2">
      <c r="A34" s="138" t="s">
        <v>525</v>
      </c>
      <c r="B34" s="138" t="s">
        <v>574</v>
      </c>
    </row>
    <row r="35" spans="1:2">
      <c r="A35" s="138" t="s">
        <v>527</v>
      </c>
      <c r="B35" s="138" t="s">
        <v>475</v>
      </c>
    </row>
    <row r="36" spans="1:2">
      <c r="A36" s="138" t="s">
        <v>529</v>
      </c>
      <c r="B36" s="138" t="s">
        <v>473</v>
      </c>
    </row>
    <row r="37" spans="1:2">
      <c r="A37" s="138" t="s">
        <v>530</v>
      </c>
      <c r="B37" s="138" t="s">
        <v>526</v>
      </c>
    </row>
    <row r="38" spans="1:2">
      <c r="A38" s="138" t="s">
        <v>532</v>
      </c>
      <c r="B38" s="138" t="s">
        <v>580</v>
      </c>
    </row>
    <row r="39" spans="1:2">
      <c r="A39" s="138" t="s">
        <v>534</v>
      </c>
      <c r="B39" s="138" t="s">
        <v>540</v>
      </c>
    </row>
    <row r="40" spans="1:2">
      <c r="A40" s="138" t="s">
        <v>536</v>
      </c>
      <c r="B40" s="138" t="s">
        <v>496</v>
      </c>
    </row>
    <row r="41" spans="1:2">
      <c r="A41" s="138" t="s">
        <v>537</v>
      </c>
      <c r="B41" s="138" t="s">
        <v>570</v>
      </c>
    </row>
    <row r="42" spans="1:2">
      <c r="A42" s="138" t="s">
        <v>539</v>
      </c>
      <c r="B42" s="138" t="s">
        <v>588</v>
      </c>
    </row>
    <row r="43" spans="1:2">
      <c r="A43" s="138" t="s">
        <v>541</v>
      </c>
      <c r="B43" s="138" t="s">
        <v>592</v>
      </c>
    </row>
    <row r="44" spans="1:2">
      <c r="A44" s="138" t="s">
        <v>543</v>
      </c>
      <c r="B44" s="138" t="s">
        <v>471</v>
      </c>
    </row>
    <row r="45" spans="1:2">
      <c r="A45" s="138" t="s">
        <v>545</v>
      </c>
      <c r="B45" s="138" t="s">
        <v>486</v>
      </c>
    </row>
    <row r="46" spans="1:2">
      <c r="A46" s="138" t="s">
        <v>547</v>
      </c>
      <c r="B46" s="138" t="s">
        <v>558</v>
      </c>
    </row>
    <row r="47" spans="1:2">
      <c r="A47" s="138" t="s">
        <v>549</v>
      </c>
      <c r="B47" s="138" t="s">
        <v>533</v>
      </c>
    </row>
    <row r="48" spans="1:2">
      <c r="A48" s="138" t="s">
        <v>551</v>
      </c>
      <c r="B48" s="138" t="s">
        <v>584</v>
      </c>
    </row>
    <row r="49" spans="1:2">
      <c r="A49" s="138" t="s">
        <v>553</v>
      </c>
      <c r="B49" s="138" t="s">
        <v>568</v>
      </c>
    </row>
    <row r="50" spans="1:2">
      <c r="A50" s="138" t="s">
        <v>555</v>
      </c>
      <c r="B50" s="138" t="s">
        <v>476</v>
      </c>
    </row>
    <row r="51" spans="1:2">
      <c r="A51" s="138" t="s">
        <v>557</v>
      </c>
      <c r="B51" s="138" t="s">
        <v>516</v>
      </c>
    </row>
    <row r="52" spans="1:2">
      <c r="A52" s="138" t="s">
        <v>559</v>
      </c>
      <c r="B52" s="138" t="s">
        <v>512</v>
      </c>
    </row>
    <row r="53" spans="1:2">
      <c r="A53" s="138" t="s">
        <v>561</v>
      </c>
      <c r="B53" s="138" t="s">
        <v>528</v>
      </c>
    </row>
    <row r="54" spans="1:2">
      <c r="A54" s="138" t="s">
        <v>563</v>
      </c>
      <c r="B54" s="138" t="s">
        <v>484</v>
      </c>
    </row>
    <row r="55" spans="1:2">
      <c r="A55" s="138" t="s">
        <v>565</v>
      </c>
      <c r="B55" s="138" t="s">
        <v>522</v>
      </c>
    </row>
    <row r="56" spans="1:2">
      <c r="A56" s="138" t="s">
        <v>567</v>
      </c>
      <c r="B56" s="138" t="s">
        <v>508</v>
      </c>
    </row>
    <row r="57" spans="1:2">
      <c r="A57" s="138" t="s">
        <v>569</v>
      </c>
      <c r="B57" s="138" t="s">
        <v>449</v>
      </c>
    </row>
    <row r="58" spans="1:2">
      <c r="A58" s="138" t="s">
        <v>571</v>
      </c>
      <c r="B58" s="138" t="s">
        <v>595</v>
      </c>
    </row>
    <row r="59" spans="1:2">
      <c r="A59" s="138" t="s">
        <v>573</v>
      </c>
      <c r="B59" s="138" t="s">
        <v>566</v>
      </c>
    </row>
    <row r="60" spans="1:2">
      <c r="A60" s="138" t="s">
        <v>575</v>
      </c>
      <c r="B60" s="138" t="s">
        <v>538</v>
      </c>
    </row>
    <row r="61" spans="1:2">
      <c r="A61" s="138" t="s">
        <v>577</v>
      </c>
      <c r="B61" s="138" t="s">
        <v>578</v>
      </c>
    </row>
    <row r="62" spans="1:2">
      <c r="A62" s="138" t="s">
        <v>579</v>
      </c>
      <c r="B62" s="138" t="s">
        <v>535</v>
      </c>
    </row>
    <row r="63" spans="1:2">
      <c r="A63" s="138" t="s">
        <v>581</v>
      </c>
      <c r="B63" s="138" t="s">
        <v>562</v>
      </c>
    </row>
    <row r="64" spans="1:2">
      <c r="A64" s="138" t="s">
        <v>583</v>
      </c>
      <c r="B64" s="138" t="s">
        <v>490</v>
      </c>
    </row>
    <row r="65" spans="1:2">
      <c r="A65" s="138" t="s">
        <v>585</v>
      </c>
      <c r="B65" s="138" t="s">
        <v>463</v>
      </c>
    </row>
    <row r="66" spans="1:2">
      <c r="A66" s="138" t="s">
        <v>587</v>
      </c>
      <c r="B66" s="138" t="s">
        <v>544</v>
      </c>
    </row>
    <row r="67" spans="1:2">
      <c r="A67" s="138" t="s">
        <v>589</v>
      </c>
      <c r="B67" s="138" t="s">
        <v>556</v>
      </c>
    </row>
    <row r="68" spans="1:2">
      <c r="A68" s="138" t="s">
        <v>591</v>
      </c>
      <c r="B68" s="138" t="s">
        <v>492</v>
      </c>
    </row>
    <row r="69" spans="1:2">
      <c r="A69" s="138" t="s">
        <v>593</v>
      </c>
      <c r="B69" s="138" t="s">
        <v>576</v>
      </c>
    </row>
    <row r="70" spans="1:2">
      <c r="A70" s="138" t="s">
        <v>594</v>
      </c>
      <c r="B70" s="138" t="s">
        <v>548</v>
      </c>
    </row>
    <row r="71" spans="1:2">
      <c r="A71" s="138" t="s">
        <v>596</v>
      </c>
    </row>
    <row r="72" spans="1:2">
      <c r="A72" s="138" t="s">
        <v>597</v>
      </c>
    </row>
    <row r="73" spans="1:2">
      <c r="A73" s="138" t="s">
        <v>598</v>
      </c>
    </row>
    <row r="74" spans="1:2">
      <c r="A74" s="138" t="s">
        <v>599</v>
      </c>
    </row>
    <row r="75" spans="1:2">
      <c r="A75" s="138" t="s">
        <v>600</v>
      </c>
    </row>
    <row r="76" spans="1:2">
      <c r="A76" s="138" t="s">
        <v>601</v>
      </c>
    </row>
    <row r="77" spans="1:2">
      <c r="A77" s="138" t="s">
        <v>602</v>
      </c>
    </row>
    <row r="78" spans="1:2">
      <c r="A78" s="138" t="s">
        <v>603</v>
      </c>
    </row>
    <row r="79" spans="1:2">
      <c r="A79" s="138" t="s">
        <v>604</v>
      </c>
    </row>
    <row r="80" spans="1:2">
      <c r="A80" s="138" t="s">
        <v>605</v>
      </c>
    </row>
    <row r="81" spans="1:1">
      <c r="A81" s="138" t="s">
        <v>606</v>
      </c>
    </row>
    <row r="82" spans="1:1">
      <c r="A82" s="138" t="s">
        <v>607</v>
      </c>
    </row>
    <row r="83" spans="1:1">
      <c r="A83" s="138" t="s">
        <v>608</v>
      </c>
    </row>
    <row r="84" spans="1:1">
      <c r="A84" s="138" t="s">
        <v>609</v>
      </c>
    </row>
    <row r="85" spans="1:1">
      <c r="A85" s="138" t="s">
        <v>610</v>
      </c>
    </row>
    <row r="86" spans="1:1">
      <c r="A86" s="138" t="s">
        <v>611</v>
      </c>
    </row>
    <row r="87" spans="1:1">
      <c r="A87" s="138" t="s">
        <v>612</v>
      </c>
    </row>
    <row r="88" spans="1:1">
      <c r="A88" s="138" t="s">
        <v>613</v>
      </c>
    </row>
    <row r="89" spans="1:1">
      <c r="A89" s="138" t="s">
        <v>614</v>
      </c>
    </row>
    <row r="90" spans="1:1">
      <c r="A90" s="138" t="s">
        <v>615</v>
      </c>
    </row>
    <row r="91" spans="1:1">
      <c r="A91" s="138" t="s">
        <v>616</v>
      </c>
    </row>
    <row r="92" spans="1:1">
      <c r="A92" s="138" t="s">
        <v>617</v>
      </c>
    </row>
    <row r="93" spans="1:1">
      <c r="A93" s="138" t="s">
        <v>618</v>
      </c>
    </row>
    <row r="94" spans="1:1">
      <c r="A94" s="138" t="s">
        <v>619</v>
      </c>
    </row>
    <row r="95" spans="1:1">
      <c r="A95" s="138" t="s">
        <v>620</v>
      </c>
    </row>
    <row r="96" spans="1:1">
      <c r="A96" s="138" t="s">
        <v>621</v>
      </c>
    </row>
    <row r="97" spans="1:1">
      <c r="A97" s="138" t="s">
        <v>622</v>
      </c>
    </row>
    <row r="98" spans="1:1">
      <c r="A98" s="138" t="s">
        <v>623</v>
      </c>
    </row>
    <row r="99" spans="1:1">
      <c r="A99" s="138" t="s">
        <v>624</v>
      </c>
    </row>
    <row r="100" spans="1:1">
      <c r="A100" s="138" t="s">
        <v>625</v>
      </c>
    </row>
    <row r="101" spans="1:1">
      <c r="A101" s="138" t="s">
        <v>626</v>
      </c>
    </row>
    <row r="102" spans="1:1">
      <c r="A102" s="138" t="s">
        <v>627</v>
      </c>
    </row>
    <row r="103" spans="1:1">
      <c r="A103" s="138" t="s">
        <v>628</v>
      </c>
    </row>
    <row r="104" spans="1:1">
      <c r="A104" s="138" t="s">
        <v>629</v>
      </c>
    </row>
    <row r="105" spans="1:1">
      <c r="A105" s="138" t="s">
        <v>630</v>
      </c>
    </row>
    <row r="106" spans="1:1">
      <c r="A106" s="138" t="s">
        <v>631</v>
      </c>
    </row>
    <row r="107" spans="1:1">
      <c r="A107" s="138" t="s">
        <v>632</v>
      </c>
    </row>
    <row r="108" spans="1:1">
      <c r="A108" s="138" t="s">
        <v>633</v>
      </c>
    </row>
    <row r="109" spans="1:1">
      <c r="A109" s="138" t="s">
        <v>634</v>
      </c>
    </row>
    <row r="110" spans="1:1">
      <c r="A110" s="138" t="s">
        <v>635</v>
      </c>
    </row>
    <row r="111" spans="1:1">
      <c r="A111" s="138" t="s">
        <v>636</v>
      </c>
    </row>
    <row r="112" spans="1:1">
      <c r="A112" s="138" t="s">
        <v>637</v>
      </c>
    </row>
    <row r="113" spans="1:1">
      <c r="A113" s="138" t="s">
        <v>638</v>
      </c>
    </row>
    <row r="114" spans="1:1">
      <c r="A114" s="138" t="s">
        <v>639</v>
      </c>
    </row>
    <row r="115" spans="1:1">
      <c r="A115" s="138" t="s">
        <v>640</v>
      </c>
    </row>
    <row r="116" spans="1:1">
      <c r="A116" s="138" t="s">
        <v>641</v>
      </c>
    </row>
    <row r="117" spans="1:1">
      <c r="A117" s="138" t="s">
        <v>642</v>
      </c>
    </row>
    <row r="118" spans="1:1">
      <c r="A118" s="138" t="s">
        <v>643</v>
      </c>
    </row>
    <row r="119" spans="1:1">
      <c r="A119" s="138" t="s">
        <v>644</v>
      </c>
    </row>
    <row r="120" spans="1:1">
      <c r="A120" s="138" t="s">
        <v>645</v>
      </c>
    </row>
    <row r="121" spans="1:1">
      <c r="A121" s="138" t="s">
        <v>646</v>
      </c>
    </row>
    <row r="122" spans="1:1">
      <c r="A122" s="138" t="s">
        <v>647</v>
      </c>
    </row>
    <row r="123" spans="1:1">
      <c r="A123" s="138" t="s">
        <v>648</v>
      </c>
    </row>
    <row r="124" spans="1:1">
      <c r="A124" s="138" t="s">
        <v>649</v>
      </c>
    </row>
    <row r="125" spans="1:1">
      <c r="A125" s="138" t="s">
        <v>650</v>
      </c>
    </row>
    <row r="126" spans="1:1">
      <c r="A126" s="138" t="s">
        <v>651</v>
      </c>
    </row>
    <row r="127" spans="1:1">
      <c r="A127" s="138" t="s">
        <v>652</v>
      </c>
    </row>
    <row r="128" spans="1:1">
      <c r="A128" s="138" t="s">
        <v>653</v>
      </c>
    </row>
    <row r="129" spans="1:1">
      <c r="A129" s="138" t="s">
        <v>654</v>
      </c>
    </row>
    <row r="130" spans="1:1">
      <c r="A130" s="138" t="s">
        <v>655</v>
      </c>
    </row>
    <row r="131" spans="1:1">
      <c r="A131" s="138" t="s">
        <v>656</v>
      </c>
    </row>
    <row r="132" spans="1:1">
      <c r="A132" s="138" t="s">
        <v>657</v>
      </c>
    </row>
    <row r="133" spans="1:1">
      <c r="A133" s="138" t="s">
        <v>658</v>
      </c>
    </row>
    <row r="134" spans="1:1">
      <c r="A134" s="138" t="s">
        <v>659</v>
      </c>
    </row>
    <row r="135" spans="1:1">
      <c r="A135" s="138" t="s">
        <v>660</v>
      </c>
    </row>
    <row r="136" spans="1:1">
      <c r="A136" s="138" t="s">
        <v>661</v>
      </c>
    </row>
    <row r="137" spans="1:1">
      <c r="A137" s="138" t="s">
        <v>662</v>
      </c>
    </row>
    <row r="138" spans="1:1">
      <c r="A138" s="138" t="s">
        <v>663</v>
      </c>
    </row>
    <row r="139" spans="1:1">
      <c r="A139" s="138" t="s">
        <v>664</v>
      </c>
    </row>
    <row r="140" spans="1:1">
      <c r="A140" s="138" t="s">
        <v>665</v>
      </c>
    </row>
    <row r="141" spans="1:1">
      <c r="A141" s="138" t="s">
        <v>666</v>
      </c>
    </row>
    <row r="142" spans="1:1">
      <c r="A142" s="138" t="s">
        <v>667</v>
      </c>
    </row>
    <row r="143" spans="1:1">
      <c r="A143" s="138" t="s">
        <v>668</v>
      </c>
    </row>
    <row r="144" spans="1:1">
      <c r="A144" s="138" t="s">
        <v>669</v>
      </c>
    </row>
    <row r="145" spans="1:1">
      <c r="A145" s="138" t="s">
        <v>670</v>
      </c>
    </row>
    <row r="146" spans="1:1">
      <c r="A146" s="138" t="s">
        <v>671</v>
      </c>
    </row>
    <row r="147" spans="1:1">
      <c r="A147" s="138" t="s">
        <v>672</v>
      </c>
    </row>
    <row r="148" spans="1:1">
      <c r="A148" s="138" t="s">
        <v>673</v>
      </c>
    </row>
    <row r="149" spans="1:1">
      <c r="A149" s="138" t="s">
        <v>674</v>
      </c>
    </row>
    <row r="150" spans="1:1">
      <c r="A150" s="138" t="s">
        <v>675</v>
      </c>
    </row>
    <row r="151" spans="1:1">
      <c r="A151" s="138" t="s">
        <v>676</v>
      </c>
    </row>
    <row r="152" spans="1:1">
      <c r="A152" s="138" t="s">
        <v>677</v>
      </c>
    </row>
    <row r="153" spans="1:1">
      <c r="A153" s="138" t="s">
        <v>678</v>
      </c>
    </row>
    <row r="154" spans="1:1">
      <c r="A154" s="138" t="s">
        <v>679</v>
      </c>
    </row>
    <row r="155" spans="1:1">
      <c r="A155" s="138" t="s">
        <v>680</v>
      </c>
    </row>
    <row r="156" spans="1:1">
      <c r="A156" s="138" t="s">
        <v>681</v>
      </c>
    </row>
    <row r="157" spans="1:1">
      <c r="A157" s="138" t="s">
        <v>682</v>
      </c>
    </row>
    <row r="158" spans="1:1">
      <c r="A158" s="138" t="s">
        <v>683</v>
      </c>
    </row>
    <row r="159" spans="1:1">
      <c r="A159" s="138" t="s">
        <v>684</v>
      </c>
    </row>
    <row r="160" spans="1:1">
      <c r="A160" s="138" t="s">
        <v>685</v>
      </c>
    </row>
    <row r="161" spans="1:1">
      <c r="A161" s="138" t="s">
        <v>686</v>
      </c>
    </row>
    <row r="162" spans="1:1">
      <c r="A162" s="138" t="s">
        <v>687</v>
      </c>
    </row>
    <row r="163" spans="1:1">
      <c r="A163" s="138" t="s">
        <v>688</v>
      </c>
    </row>
    <row r="164" spans="1:1">
      <c r="A164" s="138" t="s">
        <v>689</v>
      </c>
    </row>
    <row r="165" spans="1:1">
      <c r="A165" s="138" t="s">
        <v>690</v>
      </c>
    </row>
    <row r="166" spans="1:1">
      <c r="A166" s="138" t="s">
        <v>691</v>
      </c>
    </row>
    <row r="167" spans="1:1">
      <c r="A167" s="138" t="s">
        <v>692</v>
      </c>
    </row>
    <row r="168" spans="1:1">
      <c r="A168" s="138" t="s">
        <v>693</v>
      </c>
    </row>
    <row r="169" spans="1:1">
      <c r="A169" s="138" t="s">
        <v>694</v>
      </c>
    </row>
    <row r="170" spans="1:1">
      <c r="A170" s="138" t="s">
        <v>695</v>
      </c>
    </row>
    <row r="171" spans="1:1">
      <c r="A171" s="138" t="s">
        <v>696</v>
      </c>
    </row>
    <row r="172" spans="1:1">
      <c r="A172" s="138" t="s">
        <v>697</v>
      </c>
    </row>
    <row r="173" spans="1:1">
      <c r="A173" s="138" t="s">
        <v>698</v>
      </c>
    </row>
    <row r="174" spans="1:1">
      <c r="A174" s="138" t="s">
        <v>699</v>
      </c>
    </row>
    <row r="175" spans="1:1">
      <c r="A175" s="138" t="s">
        <v>700</v>
      </c>
    </row>
    <row r="176" spans="1:1">
      <c r="A176" s="138" t="s">
        <v>701</v>
      </c>
    </row>
    <row r="177" spans="1:1">
      <c r="A177" s="138" t="s">
        <v>702</v>
      </c>
    </row>
    <row r="178" spans="1:1">
      <c r="A178" s="138" t="s">
        <v>703</v>
      </c>
    </row>
    <row r="179" spans="1:1">
      <c r="A179" s="138" t="s">
        <v>704</v>
      </c>
    </row>
    <row r="180" spans="1:1">
      <c r="A180" s="138" t="s">
        <v>705</v>
      </c>
    </row>
    <row r="181" spans="1:1">
      <c r="A181" s="138" t="s">
        <v>706</v>
      </c>
    </row>
    <row r="182" spans="1:1">
      <c r="A182" s="138" t="s">
        <v>707</v>
      </c>
    </row>
    <row r="183" spans="1:1">
      <c r="A183" s="138" t="s">
        <v>708</v>
      </c>
    </row>
    <row r="184" spans="1:1">
      <c r="A184" s="138" t="s">
        <v>709</v>
      </c>
    </row>
    <row r="185" spans="1:1">
      <c r="A185" s="138" t="s">
        <v>710</v>
      </c>
    </row>
    <row r="186" spans="1:1">
      <c r="A186" s="138" t="s">
        <v>711</v>
      </c>
    </row>
    <row r="187" spans="1:1">
      <c r="A187" s="138" t="s">
        <v>712</v>
      </c>
    </row>
    <row r="188" spans="1:1">
      <c r="A188" s="138" t="s">
        <v>713</v>
      </c>
    </row>
    <row r="189" spans="1:1">
      <c r="A189" s="138" t="s">
        <v>714</v>
      </c>
    </row>
    <row r="190" spans="1:1">
      <c r="A190" s="138" t="s">
        <v>715</v>
      </c>
    </row>
    <row r="191" spans="1:1">
      <c r="A191" s="138" t="s">
        <v>716</v>
      </c>
    </row>
    <row r="192" spans="1:1">
      <c r="A192" s="138" t="s">
        <v>717</v>
      </c>
    </row>
    <row r="193" spans="1:1">
      <c r="A193" s="138" t="s">
        <v>718</v>
      </c>
    </row>
    <row r="194" spans="1:1">
      <c r="A194" s="138" t="s">
        <v>719</v>
      </c>
    </row>
    <row r="195" spans="1:1">
      <c r="A195" s="138" t="s">
        <v>720</v>
      </c>
    </row>
    <row r="196" spans="1:1">
      <c r="A196" s="138" t="s">
        <v>721</v>
      </c>
    </row>
    <row r="197" spans="1:1">
      <c r="A197" s="138" t="s">
        <v>722</v>
      </c>
    </row>
    <row r="198" spans="1:1">
      <c r="A198" s="138" t="s">
        <v>723</v>
      </c>
    </row>
    <row r="199" spans="1:1">
      <c r="A199" s="138" t="s">
        <v>724</v>
      </c>
    </row>
    <row r="200" spans="1:1">
      <c r="A200" s="138" t="s">
        <v>725</v>
      </c>
    </row>
    <row r="201" spans="1:1">
      <c r="A201" s="138" t="s">
        <v>726</v>
      </c>
    </row>
    <row r="202" spans="1:1">
      <c r="A202" s="138" t="s">
        <v>727</v>
      </c>
    </row>
    <row r="203" spans="1:1">
      <c r="A203" s="138" t="s">
        <v>728</v>
      </c>
    </row>
    <row r="204" spans="1:1">
      <c r="A204" s="138" t="s">
        <v>729</v>
      </c>
    </row>
    <row r="205" spans="1:1">
      <c r="A205" s="138" t="s">
        <v>730</v>
      </c>
    </row>
    <row r="206" spans="1:1">
      <c r="A206" s="138" t="s">
        <v>731</v>
      </c>
    </row>
    <row r="207" spans="1:1">
      <c r="A207" s="138" t="s">
        <v>732</v>
      </c>
    </row>
    <row r="208" spans="1:1">
      <c r="A208" s="138" t="s">
        <v>733</v>
      </c>
    </row>
    <row r="209" spans="1:1">
      <c r="A209" s="138" t="s">
        <v>734</v>
      </c>
    </row>
    <row r="210" spans="1:1">
      <c r="A210" s="138" t="s">
        <v>735</v>
      </c>
    </row>
    <row r="211" spans="1:1">
      <c r="A211" s="138" t="s">
        <v>736</v>
      </c>
    </row>
    <row r="212" spans="1:1">
      <c r="A212" s="138" t="s">
        <v>737</v>
      </c>
    </row>
    <row r="213" spans="1:1">
      <c r="A213" s="138" t="s">
        <v>738</v>
      </c>
    </row>
    <row r="214" spans="1:1">
      <c r="A214" s="138" t="s">
        <v>739</v>
      </c>
    </row>
    <row r="215" spans="1:1">
      <c r="A215" s="138" t="s">
        <v>740</v>
      </c>
    </row>
    <row r="216" spans="1:1">
      <c r="A216" s="138" t="s">
        <v>741</v>
      </c>
    </row>
    <row r="217" spans="1:1">
      <c r="A217" s="138" t="s">
        <v>742</v>
      </c>
    </row>
    <row r="218" spans="1:1">
      <c r="A218" s="138" t="s">
        <v>743</v>
      </c>
    </row>
    <row r="219" spans="1:1">
      <c r="A219" s="138" t="s">
        <v>744</v>
      </c>
    </row>
    <row r="220" spans="1:1">
      <c r="A220" s="138" t="s">
        <v>745</v>
      </c>
    </row>
    <row r="221" spans="1:1">
      <c r="A221" s="138" t="s">
        <v>746</v>
      </c>
    </row>
    <row r="222" spans="1:1">
      <c r="A222" s="138" t="s">
        <v>747</v>
      </c>
    </row>
    <row r="223" spans="1:1">
      <c r="A223" s="138" t="s">
        <v>748</v>
      </c>
    </row>
    <row r="224" spans="1:1">
      <c r="A224" s="138" t="s">
        <v>749</v>
      </c>
    </row>
    <row r="225" spans="1:1">
      <c r="A225" s="138" t="s">
        <v>750</v>
      </c>
    </row>
    <row r="226" spans="1:1">
      <c r="A226" s="138" t="s">
        <v>751</v>
      </c>
    </row>
    <row r="227" spans="1:1">
      <c r="A227" s="138" t="s">
        <v>752</v>
      </c>
    </row>
    <row r="228" spans="1:1">
      <c r="A228" s="138" t="s">
        <v>753</v>
      </c>
    </row>
    <row r="229" spans="1:1">
      <c r="A229" s="138" t="s">
        <v>754</v>
      </c>
    </row>
    <row r="230" spans="1:1">
      <c r="A230" s="138" t="s">
        <v>755</v>
      </c>
    </row>
    <row r="231" spans="1:1">
      <c r="A231" s="138" t="s">
        <v>756</v>
      </c>
    </row>
    <row r="232" spans="1:1">
      <c r="A232" s="138" t="s">
        <v>757</v>
      </c>
    </row>
    <row r="233" spans="1:1">
      <c r="A233" s="138" t="s">
        <v>758</v>
      </c>
    </row>
    <row r="234" spans="1:1">
      <c r="A234" s="138" t="s">
        <v>759</v>
      </c>
    </row>
    <row r="235" spans="1:1">
      <c r="A235" s="138" t="s">
        <v>760</v>
      </c>
    </row>
    <row r="236" spans="1:1">
      <c r="A236" s="138" t="s">
        <v>761</v>
      </c>
    </row>
    <row r="237" spans="1:1">
      <c r="A237" s="138" t="s">
        <v>762</v>
      </c>
    </row>
    <row r="238" spans="1:1">
      <c r="A238" s="138" t="s">
        <v>763</v>
      </c>
    </row>
    <row r="239" spans="1:1">
      <c r="A239" s="138" t="s">
        <v>764</v>
      </c>
    </row>
    <row r="240" spans="1:1">
      <c r="A240" s="138" t="s">
        <v>765</v>
      </c>
    </row>
    <row r="241" spans="1:1">
      <c r="A241" s="138" t="s">
        <v>766</v>
      </c>
    </row>
    <row r="242" spans="1:1">
      <c r="A242" s="138" t="s">
        <v>767</v>
      </c>
    </row>
    <row r="243" spans="1:1">
      <c r="A243" s="138" t="s">
        <v>768</v>
      </c>
    </row>
    <row r="244" spans="1:1">
      <c r="A244" s="138" t="s">
        <v>769</v>
      </c>
    </row>
    <row r="245" spans="1:1">
      <c r="A245" s="138" t="s">
        <v>770</v>
      </c>
    </row>
    <row r="246" spans="1:1">
      <c r="A246" s="138" t="s">
        <v>771</v>
      </c>
    </row>
    <row r="247" spans="1:1">
      <c r="A247" s="138" t="s">
        <v>772</v>
      </c>
    </row>
    <row r="248" spans="1:1">
      <c r="A248" s="138" t="s">
        <v>773</v>
      </c>
    </row>
    <row r="249" spans="1:1">
      <c r="A249" s="138" t="s">
        <v>774</v>
      </c>
    </row>
    <row r="250" spans="1:1">
      <c r="A250" s="138" t="s">
        <v>775</v>
      </c>
    </row>
    <row r="251" spans="1:1">
      <c r="A251" s="138" t="s">
        <v>776</v>
      </c>
    </row>
    <row r="252" spans="1:1">
      <c r="A252" s="138" t="s">
        <v>777</v>
      </c>
    </row>
    <row r="253" spans="1:1">
      <c r="A253" s="138" t="s">
        <v>778</v>
      </c>
    </row>
    <row r="254" spans="1:1">
      <c r="A254" s="138" t="s">
        <v>779</v>
      </c>
    </row>
    <row r="255" spans="1:1">
      <c r="A255" s="138" t="s">
        <v>780</v>
      </c>
    </row>
    <row r="256" spans="1:1">
      <c r="A256" s="138" t="s">
        <v>781</v>
      </c>
    </row>
    <row r="257" spans="1:1">
      <c r="A257" s="138" t="s">
        <v>782</v>
      </c>
    </row>
    <row r="258" spans="1:1">
      <c r="A258" s="138" t="s">
        <v>783</v>
      </c>
    </row>
    <row r="259" spans="1:1">
      <c r="A259" s="138" t="s">
        <v>784</v>
      </c>
    </row>
    <row r="260" spans="1:1">
      <c r="A260" s="138" t="s">
        <v>785</v>
      </c>
    </row>
    <row r="261" spans="1:1">
      <c r="A261" s="138" t="s">
        <v>786</v>
      </c>
    </row>
    <row r="262" spans="1:1">
      <c r="A262" s="138" t="s">
        <v>787</v>
      </c>
    </row>
    <row r="263" spans="1:1">
      <c r="A263" s="138" t="s">
        <v>788</v>
      </c>
    </row>
    <row r="264" spans="1:1">
      <c r="A264" s="138" t="s">
        <v>789</v>
      </c>
    </row>
    <row r="265" spans="1:1">
      <c r="A265" s="138" t="s">
        <v>790</v>
      </c>
    </row>
    <row r="266" spans="1:1">
      <c r="A266" s="138" t="s">
        <v>791</v>
      </c>
    </row>
    <row r="267" spans="1:1">
      <c r="A267" s="138" t="s">
        <v>792</v>
      </c>
    </row>
  </sheetData>
  <sortState xmlns:xlrd2="http://schemas.microsoft.com/office/spreadsheetml/2017/richdata2" ref="B2:B69">
    <sortCondition ref="B2:B69"/>
  </sortState>
  <phoneticPr fontId="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21</vt:i4>
      </vt:variant>
      <vt:variant>
        <vt:lpstr>이름 지정된 범위</vt:lpstr>
      </vt:variant>
      <vt:variant>
        <vt:i4>17</vt:i4>
      </vt:variant>
    </vt:vector>
  </HeadingPairs>
  <TitlesOfParts>
    <vt:vector size="38" baseType="lpstr">
      <vt:lpstr>목차</vt:lpstr>
      <vt:lpstr>1</vt:lpstr>
      <vt:lpstr>1-1</vt:lpstr>
      <vt:lpstr>2-1</vt:lpstr>
      <vt:lpstr>2-2</vt:lpstr>
      <vt:lpstr>3</vt:lpstr>
      <vt:lpstr>4</vt:lpstr>
      <vt:lpstr>5</vt:lpstr>
      <vt:lpstr>6</vt:lpstr>
      <vt:lpstr>7</vt:lpstr>
      <vt:lpstr>8</vt:lpstr>
      <vt:lpstr>9</vt:lpstr>
      <vt:lpstr>10</vt:lpstr>
      <vt:lpstr>11</vt:lpstr>
      <vt:lpstr>A</vt:lpstr>
      <vt:lpstr> B</vt:lpstr>
      <vt:lpstr>C</vt:lpstr>
      <vt:lpstr>D</vt:lpstr>
      <vt:lpstr>E</vt:lpstr>
      <vt:lpstr>F</vt:lpstr>
      <vt:lpstr>Sheet1</vt:lpstr>
      <vt:lpstr>' B'!Print_Area</vt:lpstr>
      <vt:lpstr>'1'!Print_Area</vt:lpstr>
      <vt:lpstr>'10'!Print_Area</vt:lpstr>
      <vt:lpstr>'2-1'!Print_Area</vt:lpstr>
      <vt:lpstr>'2-2'!Print_Area</vt:lpstr>
      <vt:lpstr>'3'!Print_Area</vt:lpstr>
      <vt:lpstr>'4'!Print_Area</vt:lpstr>
      <vt:lpstr>'5'!Print_Area</vt:lpstr>
      <vt:lpstr>'6'!Print_Area</vt:lpstr>
      <vt:lpstr>'7'!Print_Area</vt:lpstr>
      <vt:lpstr>'8'!Print_Area</vt:lpstr>
      <vt:lpstr>'9'!Print_Area</vt:lpstr>
      <vt:lpstr>A!Print_Area</vt:lpstr>
      <vt:lpstr>'C'!Print_Area</vt:lpstr>
      <vt:lpstr>D!Print_Area</vt:lpstr>
      <vt:lpstr>E!Print_Area</vt:lpstr>
      <vt:lpstr>F!Print_Area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srnd</dc:creator>
  <cp:lastModifiedBy>User</cp:lastModifiedBy>
  <cp:lastPrinted>2026-03-17T02:32:26Z</cp:lastPrinted>
  <dcterms:created xsi:type="dcterms:W3CDTF">2020-01-29T04:46:39Z</dcterms:created>
  <dcterms:modified xsi:type="dcterms:W3CDTF">2026-04-20T06:28:30Z</dcterms:modified>
</cp:coreProperties>
</file>