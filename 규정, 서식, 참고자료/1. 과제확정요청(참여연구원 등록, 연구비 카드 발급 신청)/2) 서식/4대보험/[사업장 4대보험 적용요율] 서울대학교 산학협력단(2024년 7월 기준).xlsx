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1. NOW\1. 연구지원부\인수인계_4대보험, 퇴직금, 원카드_최미애(2022.7.)\1. 4대보험\총괄\05보험 요율표\"/>
    </mc:Choice>
  </mc:AlternateContent>
  <bookViews>
    <workbookView xWindow="15210" yWindow="0" windowWidth="19200" windowHeight="11550" tabRatio="1000"/>
  </bookViews>
  <sheets>
    <sheet name="1. 보험료율 및 관리계좌정보" sheetId="1" r:id="rId1"/>
    <sheet name="2. 보험료 모의계산" sheetId="2" r:id="rId2"/>
    <sheet name="3. 최저임금" sheetId="10" r:id="rId3"/>
    <sheet name="4.단시간단기간" sheetId="9" r:id="rId4"/>
  </sheets>
  <definedNames>
    <definedName name="_xlnm.Print_Area" localSheetId="0">'1. 보험료율 및 관리계좌정보'!$A$1:$D$10</definedName>
    <definedName name="_xlnm.Print_Area" localSheetId="1">'2. 보험료 모의계산'!$B$1:$S$16</definedName>
  </definedNames>
  <calcPr calcId="152511"/>
</workbook>
</file>

<file path=xl/calcChain.xml><?xml version="1.0" encoding="utf-8"?>
<calcChain xmlns="http://schemas.openxmlformats.org/spreadsheetml/2006/main">
  <c r="D5" i="2" l="1"/>
  <c r="C5" i="2"/>
  <c r="K5" i="2" l="1"/>
  <c r="G5" i="2" l="1"/>
  <c r="E12" i="10" l="1"/>
  <c r="F5" i="2" l="1"/>
  <c r="E5" i="2"/>
  <c r="E23" i="10" l="1"/>
  <c r="E22" i="10"/>
  <c r="E21" i="10"/>
  <c r="E20" i="10"/>
  <c r="E19" i="10"/>
  <c r="E18" i="10"/>
  <c r="E17" i="10"/>
  <c r="E16" i="10"/>
  <c r="E15" i="10"/>
  <c r="E14" i="10"/>
  <c r="E13" i="10"/>
  <c r="J5" i="2" l="1"/>
  <c r="I5" i="2"/>
  <c r="H5" i="2" l="1"/>
  <c r="L5" i="2" l="1"/>
  <c r="M5" i="2" l="1"/>
</calcChain>
</file>

<file path=xl/comments1.xml><?xml version="1.0" encoding="utf-8"?>
<comments xmlns="http://schemas.openxmlformats.org/spreadsheetml/2006/main">
  <authors>
    <author>SNU</author>
    <author>user</author>
  </authors>
  <commentList>
    <comment ref="B5" authorId="0" shapeId="0">
      <text>
        <r>
          <rPr>
            <sz val="10"/>
            <color indexed="81"/>
            <rFont val="함초롬돋움"/>
            <family val="3"/>
            <charset val="129"/>
          </rPr>
          <t>근로소득액(인건비, 연구수당, 
상여금, 초과근무수당 등) 입력</t>
        </r>
      </text>
    </comment>
    <comment ref="C5" authorId="1" shapeId="0">
      <text>
        <r>
          <rPr>
            <sz val="10"/>
            <color indexed="81"/>
            <rFont val="함초롬돋움"/>
            <family val="3"/>
            <charset val="129"/>
          </rPr>
          <t xml:space="preserve">국민연금 기준소득월액 상, 하한액 적용함
</t>
        </r>
      </text>
    </comment>
    <comment ref="E5" authorId="1" shapeId="0">
      <text>
        <r>
          <rPr>
            <sz val="10"/>
            <color indexed="81"/>
            <rFont val="함초롬돋움"/>
            <family val="3"/>
            <charset val="129"/>
          </rPr>
          <t>건강보험 보수월액 
상·하한액 적용함</t>
        </r>
      </text>
    </comment>
  </commentList>
</comments>
</file>

<file path=xl/sharedStrings.xml><?xml version="1.0" encoding="utf-8"?>
<sst xmlns="http://schemas.openxmlformats.org/spreadsheetml/2006/main" count="115" uniqueCount="104">
  <si>
    <t>국민연금</t>
  </si>
  <si>
    <t>건강보험</t>
  </si>
  <si>
    <t>장기요양</t>
  </si>
  <si>
    <t>산재보험</t>
  </si>
  <si>
    <t>근로자(개인)부담</t>
    <phoneticPr fontId="3" type="noConversion"/>
  </si>
  <si>
    <t>사용자(기관)부담</t>
    <phoneticPr fontId="3" type="noConversion"/>
  </si>
  <si>
    <t>근로자부담 없음</t>
    <phoneticPr fontId="3" type="noConversion"/>
  </si>
  <si>
    <t>기관부담금만 부담</t>
    <phoneticPr fontId="3" type="noConversion"/>
  </si>
  <si>
    <t>개인 및 기관부담금 동일</t>
    <phoneticPr fontId="3" type="noConversion"/>
  </si>
  <si>
    <t>개인과 기관부담금액 다름</t>
    <phoneticPr fontId="3" type="noConversion"/>
  </si>
  <si>
    <t>보수월액</t>
    <phoneticPr fontId="6" type="noConversion"/>
  </si>
  <si>
    <t>국민연금</t>
    <phoneticPr fontId="6" type="noConversion"/>
  </si>
  <si>
    <t>건강보험</t>
    <phoneticPr fontId="6" type="noConversion"/>
  </si>
  <si>
    <t>장기요양</t>
    <phoneticPr fontId="6" type="noConversion"/>
  </si>
  <si>
    <t>고용보험</t>
    <phoneticPr fontId="6" type="noConversion"/>
  </si>
  <si>
    <t>산재보험</t>
    <phoneticPr fontId="6" type="noConversion"/>
  </si>
  <si>
    <t>개인부담금</t>
    <phoneticPr fontId="6" type="noConversion"/>
  </si>
  <si>
    <t>기관부담금</t>
    <phoneticPr fontId="6" type="noConversion"/>
  </si>
  <si>
    <t>4대보험료 적용 시 주의사항</t>
    <phoneticPr fontId="3" type="noConversion"/>
  </si>
  <si>
    <t>구   분</t>
    <phoneticPr fontId="3" type="noConversion"/>
  </si>
  <si>
    <t>비    고</t>
    <phoneticPr fontId="3" type="noConversion"/>
  </si>
  <si>
    <t>시트 2번. 보험료 모의계산으로→</t>
    <phoneticPr fontId="3" type="noConversion"/>
  </si>
  <si>
    <t>기관부담금 합계</t>
    <phoneticPr fontId="3" type="noConversion"/>
  </si>
  <si>
    <t>월보수+기관합계</t>
    <phoneticPr fontId="3" type="noConversion"/>
  </si>
  <si>
    <t>■ 최저임금산정</t>
  </si>
  <si>
    <t>기준</t>
  </si>
  <si>
    <t>- 최저임금위반의 효력: 근로계약 중 최저임금에 미치지 못하는 금액을 임금으로 정한 
  부분은 무효로 하며, 이 경우 무효로 된 부분은 최저임금액과 동일한 임금을 지급해야 함
'- 사용자는 최저임금에 대하여 근로자에게 주지할 의무가 있으며, 이를 위반시에는 
   100만원 이하의 과태료가 발생함</t>
  </si>
  <si>
    <t>최저임금</t>
  </si>
  <si>
    <t>일급(8시간)</t>
  </si>
  <si>
    <t>월급(209시간)</t>
  </si>
  <si>
    <t>*월급은 주휴수당을 포함하여 계산한 금액입니다.</t>
  </si>
  <si>
    <t>산학협력단 4대보험 관리계좌: (신한) 140-008-015892</t>
    <phoneticPr fontId="3" type="noConversion"/>
  </si>
  <si>
    <t>월 근로시간</t>
  </si>
  <si>
    <t>결과</t>
    <phoneticPr fontId="3" type="noConversion"/>
  </si>
  <si>
    <t>월 최저임금</t>
  </si>
  <si>
    <t xml:space="preserve">주40시간 근로시 </t>
  </si>
  <si>
    <t>(40h+8h)/7일*365일/12월=208.5h</t>
    <phoneticPr fontId="3" type="noConversion"/>
  </si>
  <si>
    <t>주35시간 근로시</t>
  </si>
  <si>
    <t>(35h+7h)/7일*365일/12월=182.5h</t>
  </si>
  <si>
    <t>주30시간 근로시</t>
  </si>
  <si>
    <t>(30h+6h)/7일*365일/12월=156.4h</t>
  </si>
  <si>
    <t>주25시간 근로시</t>
  </si>
  <si>
    <t>(25h+5h)/7일*365일/12월=130.4h</t>
  </si>
  <si>
    <t>주20시간 근로시</t>
  </si>
  <si>
    <t>(20h+4h)/7일*365일/12월=104.3h</t>
  </si>
  <si>
    <t>주15시간 근로시</t>
  </si>
  <si>
    <t>주14시간 근로시</t>
  </si>
  <si>
    <t>주10시간 근로시</t>
  </si>
  <si>
    <t>주9시간 근로시</t>
    <phoneticPr fontId="3" type="noConversion"/>
  </si>
  <si>
    <t>주8시간 근로시</t>
  </si>
  <si>
    <t>주6시간 근로시</t>
    <phoneticPr fontId="3" type="noConversion"/>
  </si>
  <si>
    <t>(6h)/7일*365일/12월=26.1h</t>
    <phoneticPr fontId="3" type="noConversion"/>
  </si>
  <si>
    <t>(15h+3h)/7일*365일/12월=78.2h</t>
    <phoneticPr fontId="3" type="noConversion"/>
  </si>
  <si>
    <t>(12h)/7일*365일/12월=52.1h</t>
    <phoneticPr fontId="3" type="noConversion"/>
  </si>
  <si>
    <t>(14h)/7일*365일/12월=60.8h</t>
    <phoneticPr fontId="3" type="noConversion"/>
  </si>
  <si>
    <t>(10h)/7일*365일/12월=43.5h</t>
    <phoneticPr fontId="3" type="noConversion"/>
  </si>
  <si>
    <t>(9h)/7일*365일/12월=39.1h</t>
    <phoneticPr fontId="3" type="noConversion"/>
  </si>
  <si>
    <t>(8h)/7일*365일/12월=34.8h</t>
    <phoneticPr fontId="3" type="noConversion"/>
  </si>
  <si>
    <t>*주 5일 근무 기준으로 산정한 월 근로시간 및 최저 임금표임.</t>
    <phoneticPr fontId="3" type="noConversion"/>
  </si>
  <si>
    <t>국민</t>
  </si>
  <si>
    <t>건강</t>
  </si>
  <si>
    <t>고용</t>
  </si>
  <si>
    <t>산재</t>
  </si>
  <si>
    <t>연령</t>
  </si>
  <si>
    <r>
      <rPr>
        <b/>
        <sz val="11"/>
        <color theme="3"/>
        <rFont val="맑은 고딕"/>
        <family val="3"/>
        <charset val="129"/>
        <scheme val="minor"/>
      </rPr>
      <t>가입해야함</t>
    </r>
    <r>
      <rPr>
        <sz val="11"/>
        <color theme="3"/>
        <rFont val="맑은 고딕"/>
        <family val="2"/>
        <charset val="129"/>
        <scheme val="minor"/>
      </rPr>
      <t xml:space="preserve">
(연령제한없음)</t>
    </r>
  </si>
  <si>
    <t>가입해야함</t>
  </si>
  <si>
    <t>단기간
(1개월미만 일용근로자)</t>
  </si>
  <si>
    <t>적용제외가능</t>
    <phoneticPr fontId="3" type="noConversion"/>
  </si>
  <si>
    <t>적용제외가능</t>
    <phoneticPr fontId="3" type="noConversion"/>
  </si>
  <si>
    <t>산학협력단 근로소득자</t>
  </si>
  <si>
    <t>타기관 소속이 없으며, 연구과제 참여 위해 고용된 연구원(산학협력중점교수, 연구비 교수 포함)</t>
  </si>
  <si>
    <t>산학협력단 기타소득자</t>
  </si>
  <si>
    <t>전임교원, 학생, 타기관소속연구원, 법인직원 (간접비로 인건비 받는 행정지원인력)</t>
  </si>
  <si>
    <t>* 4대보험 취득 대상</t>
    <phoneticPr fontId="3" type="noConversion"/>
  </si>
  <si>
    <t>가입해야함</t>
    <phoneticPr fontId="3" type="noConversion"/>
  </si>
  <si>
    <t>기간구분</t>
    <phoneticPr fontId="3" type="noConversion"/>
  </si>
  <si>
    <t>- 일급은 최저임금시급 * 8시간 기준으로 산정한 금액임 
- 최저임금월급은 1일 8시간 주5일 근로자(주휴수당 1일 포함) 기준으로 산정한 금액임
   -&gt; 9,160원*209시간 = 1,914,440원</t>
    <phoneticPr fontId="3" type="noConversion"/>
  </si>
  <si>
    <t>적용제외가능</t>
    <phoneticPr fontId="3" type="noConversion"/>
  </si>
  <si>
    <r>
      <rPr>
        <b/>
        <sz val="11"/>
        <color rgb="FFFF0000"/>
        <rFont val="맑은 고딕"/>
        <family val="3"/>
        <charset val="129"/>
        <scheme val="minor"/>
      </rPr>
      <t>적용제외가능</t>
    </r>
    <r>
      <rPr>
        <sz val="11"/>
        <color rgb="FFFF0000"/>
        <rFont val="맑은 고딕"/>
        <family val="3"/>
        <charset val="129"/>
        <scheme val="minor"/>
      </rPr>
      <t xml:space="preserve">
(단, 고용 기간이 3개월 이상이면 근로자가 원할시 가입 가능)</t>
    </r>
    <phoneticPr fontId="3" type="noConversion"/>
  </si>
  <si>
    <t>단시간
(월 60시간, 
주 15시간 미만)</t>
    <phoneticPr fontId="3" type="noConversion"/>
  </si>
  <si>
    <r>
      <rPr>
        <b/>
        <sz val="11"/>
        <color rgb="FFFF0000"/>
        <rFont val="맑은 고딕"/>
        <family val="3"/>
        <charset val="129"/>
        <scheme val="minor"/>
      </rPr>
      <t>적용제외가능</t>
    </r>
    <r>
      <rPr>
        <sz val="11"/>
        <color rgb="FFFF0000"/>
        <rFont val="맑은 고딕"/>
        <family val="2"/>
        <charset val="129"/>
        <scheme val="minor"/>
      </rPr>
      <t xml:space="preserve">
</t>
    </r>
    <r>
      <rPr>
        <b/>
        <sz val="11"/>
        <color theme="4"/>
        <rFont val="맑은 고딕"/>
        <family val="3"/>
        <charset val="129"/>
        <scheme val="minor"/>
      </rPr>
      <t>(단, 3개월 이상은 가입해야함)</t>
    </r>
    <phoneticPr fontId="3" type="noConversion"/>
  </si>
  <si>
    <t>주12시간 근로시</t>
    <phoneticPr fontId="3" type="noConversion"/>
  </si>
  <si>
    <t xml:space="preserve">(실업급여) 만 65세가 되기전에 고용되었을경우에는 계속 보험가입징수함.
               만 65세 이후에 신규 고용된 경우에는 보험가입은 하지만 보험료는 납부하지 않음​
(고용안정.직업능력) 연령관계없이 보험료징수-&gt; 즉, 고용안정,직업능력은  65세이후 고용된  신규채용자도 취득대상이기때문에 나이와 상관없이 무조건 고용보험 가입해야함. ​ </t>
    <phoneticPr fontId="3" type="noConversion"/>
  </si>
  <si>
    <t>1월~12월</t>
    <phoneticPr fontId="3" type="noConversion"/>
  </si>
  <si>
    <r>
      <t xml:space="preserve">○ 취득, 상실 신고는 취득(상실)일이 속하는 다음달의 15일까지 보험공단으로 접수되어야 하므로 </t>
    </r>
    <r>
      <rPr>
        <b/>
        <sz val="13"/>
        <color rgb="FFFF0000"/>
        <rFont val="함초롬돋움"/>
        <family val="3"/>
        <charset val="129"/>
      </rPr>
      <t>산학협력단으로는 다음 달 10일까지 신고요청</t>
    </r>
    <r>
      <rPr>
        <b/>
        <sz val="13"/>
        <color rgb="FF0070C0"/>
        <rFont val="함초롬돋움"/>
        <family val="3"/>
        <charset val="129"/>
      </rPr>
      <t xml:space="preserve">하여 주시기 바라며, 
    </t>
    </r>
    <r>
      <rPr>
        <b/>
        <sz val="13"/>
        <color rgb="FFFF0000"/>
        <rFont val="함초롬돋움"/>
        <family val="3"/>
        <charset val="129"/>
      </rPr>
      <t>지연신고로 인한 과태료 발생액은 관리기관에서 납부</t>
    </r>
    <r>
      <rPr>
        <b/>
        <sz val="13"/>
        <color rgb="FF0070C0"/>
        <rFont val="함초롬돋움"/>
        <family val="3"/>
        <charset val="129"/>
      </rPr>
      <t xml:space="preserve">해주셔야 하오니 기한내 신고할 수 있도록 해주시기 바랍니다. </t>
    </r>
    <phoneticPr fontId="3" type="noConversion"/>
  </si>
  <si>
    <r>
      <t xml:space="preserve">※ </t>
    </r>
    <r>
      <rPr>
        <b/>
        <u/>
        <sz val="13"/>
        <rFont val="함초롬돋움"/>
        <family val="3"/>
        <charset val="129"/>
      </rPr>
      <t>근로소득으로 지급되는 특정월의 인건비 :</t>
    </r>
    <r>
      <rPr>
        <sz val="13"/>
        <color rgb="FFFF0000"/>
        <rFont val="함초롬돋움"/>
        <family val="3"/>
        <charset val="129"/>
      </rPr>
      <t xml:space="preserve"> 국민연금 개인별 고지금액 설정, 그외의 4대보험 자동계산
   </t>
    </r>
    <r>
      <rPr>
        <b/>
        <u/>
        <sz val="13"/>
        <rFont val="함초롬돋움"/>
        <family val="3"/>
        <charset val="129"/>
      </rPr>
      <t>인건비 이외에 발생하는 연구수당, 상여금, 초과근무 수당 등의 근로소득 :</t>
    </r>
    <r>
      <rPr>
        <sz val="13"/>
        <color rgb="FFFF0000"/>
        <rFont val="함초롬돋움"/>
        <family val="3"/>
        <charset val="129"/>
      </rPr>
      <t xml:space="preserve"> 국민연금 0원, 그 외의 4대보험 자동계산(기관부담금 처리도 동일)
※ 특정월에 발생한 근로소득에 대한 기관부담금은 반드시 당월 청구하시기 바랍니다.</t>
    </r>
    <phoneticPr fontId="3" type="noConversion"/>
  </si>
  <si>
    <r>
      <t xml:space="preserve">
○ 국민연금보험료 (국민연금보험료는 실지급급여액에 관계없이 </t>
    </r>
    <r>
      <rPr>
        <b/>
        <sz val="11"/>
        <color rgb="FFFF0000"/>
        <rFont val="함초롬돋움"/>
        <family val="3"/>
        <charset val="129"/>
      </rPr>
      <t>공단에서 고지한 보험료 금액만큼만 월별 납부</t>
    </r>
    <r>
      <rPr>
        <b/>
        <sz val="11"/>
        <color theme="1"/>
        <rFont val="함초롬돋움"/>
        <family val="3"/>
        <charset val="129"/>
      </rPr>
      <t xml:space="preserve">하면 됨)
 - 취득 한 해 ~ 다음 해 6월 : 가입시 신고한 소득월액 X 4.5%로 개인 및 기관부담금 보험료가 개인별로 고지되어 다음 해 6월까지 고정으로 고지됨
 - 취득 다음 년도 7월 ~ : 취득한 해(전년도) 총근로소득을 신고하여 7월부터 새로 적용할 개인별 기준소득월액을 국민연금 공단에서 정기결정하여 통지-&gt; 산학협력단에서 관리기관별로 개인별 고지되는 보험료를 안내함
 - 국민연금은 월 중도 입사(취득)자의 경우 첫 달 국민연금 보험료를 미납부함(납부희망선택가능) / 다만 </t>
    </r>
    <r>
      <rPr>
        <b/>
        <u/>
        <sz val="11"/>
        <color rgb="FFFF0000"/>
        <rFont val="함초롬돋움"/>
        <family val="3"/>
        <charset val="129"/>
      </rPr>
      <t>월 중도 퇴사 시에는 1개월 국민연금 보험료를 모두 납부</t>
    </r>
    <r>
      <rPr>
        <b/>
        <u/>
        <sz val="11"/>
        <color theme="1"/>
        <rFont val="함초롬돋움"/>
        <family val="3"/>
        <charset val="129"/>
      </rPr>
      <t xml:space="preserve">하여야 함
</t>
    </r>
    <phoneticPr fontId="3" type="noConversion"/>
  </si>
  <si>
    <r>
      <rPr>
        <b/>
        <sz val="11"/>
        <color theme="1"/>
        <rFont val="맑은 고딕"/>
        <family val="3"/>
        <charset val="129"/>
        <scheme val="minor"/>
      </rPr>
      <t>실수령액</t>
    </r>
    <r>
      <rPr>
        <sz val="11"/>
        <color theme="1"/>
        <rFont val="맑은 고딕"/>
        <family val="2"/>
        <charset val="129"/>
        <scheme val="minor"/>
      </rPr>
      <t>+</t>
    </r>
    <r>
      <rPr>
        <b/>
        <sz val="11"/>
        <color theme="1"/>
        <rFont val="맑은 고딕"/>
        <family val="3"/>
        <charset val="129"/>
        <scheme val="minor"/>
      </rPr>
      <t>소득세</t>
    </r>
    <r>
      <rPr>
        <sz val="11"/>
        <color theme="1"/>
        <rFont val="맑은 고딕"/>
        <family val="2"/>
        <charset val="129"/>
        <scheme val="minor"/>
      </rPr>
      <t>+</t>
    </r>
    <r>
      <rPr>
        <b/>
        <sz val="11"/>
        <color theme="1"/>
        <rFont val="맑은 고딕"/>
        <family val="3"/>
        <charset val="129"/>
        <scheme val="minor"/>
      </rPr>
      <t>주민세</t>
    </r>
    <r>
      <rPr>
        <sz val="11"/>
        <color theme="1"/>
        <rFont val="맑은 고딕"/>
        <family val="2"/>
        <charset val="129"/>
        <scheme val="minor"/>
      </rPr>
      <t>+</t>
    </r>
    <r>
      <rPr>
        <b/>
        <sz val="11"/>
        <color theme="1"/>
        <rFont val="맑은 고딕"/>
        <family val="3"/>
        <charset val="129"/>
        <scheme val="minor"/>
      </rPr>
      <t>개인부담금</t>
    </r>
    <r>
      <rPr>
        <b/>
        <sz val="11"/>
        <color rgb="FFFF0000"/>
        <rFont val="맑은 고딕"/>
        <family val="3"/>
        <charset val="129"/>
        <scheme val="minor"/>
      </rPr>
      <t>(기관부담금 및 퇴직금은 포함 X)</t>
    </r>
    <phoneticPr fontId="3" type="noConversion"/>
  </si>
  <si>
    <t>신고 보수월액</t>
    <phoneticPr fontId="3" type="noConversion"/>
  </si>
  <si>
    <t>*주15시간 미만 근로자는 주휴, 퇴직금, 연차휴가가 없다</t>
    <phoneticPr fontId="3" type="noConversion"/>
  </si>
  <si>
    <t>고용보험</t>
    <phoneticPr fontId="3" type="noConversion"/>
  </si>
  <si>
    <t>2024년도 산학협력단 사업장 4대보험 적용요율</t>
    <phoneticPr fontId="3" type="noConversion"/>
  </si>
  <si>
    <t>2024년</t>
    <phoneticPr fontId="3" type="noConversion"/>
  </si>
  <si>
    <t>최저임금 산정 기준(2024년)</t>
    <phoneticPr fontId="6" type="noConversion"/>
  </si>
  <si>
    <r>
      <rPr>
        <b/>
        <sz val="11"/>
        <color theme="1"/>
        <rFont val="맑은 고딕"/>
        <family val="3"/>
        <charset val="129"/>
        <scheme val="minor"/>
      </rPr>
      <t>(적용기간: 2024.1.1. ~ 2024.12.31.)</t>
    </r>
    <r>
      <rPr>
        <sz val="11"/>
        <color theme="1"/>
        <rFont val="맑은 고딕"/>
        <family val="3"/>
        <charset val="129"/>
        <scheme val="minor"/>
      </rPr>
      <t xml:space="preserve">
건강보험 기준소득월액 하한액 :       279,266원
건강보험 기준소득월액 상한액 : 110,332,300원</t>
    </r>
    <phoneticPr fontId="3" type="noConversion"/>
  </si>
  <si>
    <t>4대보험 취득대상(2024년)</t>
    <phoneticPr fontId="6" type="noConversion"/>
  </si>
  <si>
    <r>
      <t xml:space="preserve">만 18세미만,
만 60세 이상 </t>
    </r>
    <r>
      <rPr>
        <b/>
        <sz val="11"/>
        <color rgb="FFFF0000"/>
        <rFont val="맑은 고딕"/>
        <family val="3"/>
        <charset val="129"/>
        <scheme val="minor"/>
      </rPr>
      <t>가입불가</t>
    </r>
    <r>
      <rPr>
        <sz val="11"/>
        <color rgb="FFFF0000"/>
        <rFont val="맑은 고딕"/>
        <family val="2"/>
        <charset val="129"/>
        <scheme val="minor"/>
      </rPr>
      <t xml:space="preserve">
(24년 기준 만 60세: 1964년생)</t>
    </r>
    <phoneticPr fontId="3" type="noConversion"/>
  </si>
  <si>
    <t>4대보험료 모의계산(2024년)</t>
    <phoneticPr fontId="6" type="noConversion"/>
  </si>
  <si>
    <r>
      <rPr>
        <b/>
        <sz val="11"/>
        <color theme="3"/>
        <rFont val="맑은 고딕"/>
        <family val="3"/>
        <charset val="129"/>
        <scheme val="minor"/>
      </rPr>
      <t xml:space="preserve">가입해야함
</t>
    </r>
    <r>
      <rPr>
        <sz val="11"/>
        <color theme="3"/>
        <rFont val="맑은 고딕"/>
        <family val="3"/>
        <charset val="129"/>
        <scheme val="minor"/>
      </rPr>
      <t>(단, 만 65세(24년 기준 만 65세: 1959년생)이후 
신규취업자는 고용안정·직업능력개발보험료만 납부)</t>
    </r>
    <phoneticPr fontId="3" type="noConversion"/>
  </si>
  <si>
    <r>
      <rPr>
        <b/>
        <sz val="11"/>
        <color rgb="FFFF0000"/>
        <rFont val="맑은 고딕"/>
        <family val="3"/>
        <charset val="129"/>
        <scheme val="minor"/>
      </rPr>
      <t>(적용기간: 2024.7.1. ~ 2025.6.30.)</t>
    </r>
    <r>
      <rPr>
        <sz val="11"/>
        <color rgb="FFFF0000"/>
        <rFont val="맑은 고딕"/>
        <family val="3"/>
        <charset val="129"/>
        <scheme val="minor"/>
      </rPr>
      <t xml:space="preserve">
국민연금 기준소득월액 하한액:   390,000원
국민연금 기준소득월액 상한액: 6,170,000원
*   </t>
    </r>
    <r>
      <rPr>
        <b/>
        <sz val="11"/>
        <color rgb="FFFF0000"/>
        <rFont val="맑은 고딕"/>
        <family val="3"/>
        <charset val="129"/>
        <scheme val="minor"/>
      </rPr>
      <t>390,000원 미만</t>
    </r>
    <r>
      <rPr>
        <sz val="11"/>
        <color rgb="FFFF0000"/>
        <rFont val="맑은 고딕"/>
        <family val="3"/>
        <charset val="129"/>
        <scheme val="minor"/>
      </rPr>
      <t xml:space="preserve"> 인건비를 받는 근로소득자의 연금 납부액: 개인 / 기관 각각   17,550원
* </t>
    </r>
    <r>
      <rPr>
        <b/>
        <sz val="11"/>
        <color rgb="FFFF0000"/>
        <rFont val="맑은 고딕"/>
        <family val="3"/>
        <charset val="129"/>
        <scheme val="minor"/>
      </rPr>
      <t>6,170,000원 초과</t>
    </r>
    <r>
      <rPr>
        <sz val="11"/>
        <color rgb="FFFF0000"/>
        <rFont val="맑은 고딕"/>
        <family val="3"/>
        <charset val="129"/>
        <scheme val="minor"/>
      </rPr>
      <t xml:space="preserve"> 인건비를 받는 근로소득자의 연금 납부액: 개인 / 기관 각각 277,650원</t>
    </r>
    <phoneticPr fontId="3" type="noConversion"/>
  </si>
  <si>
    <r>
      <t>건강보험료×</t>
    </r>
    <r>
      <rPr>
        <b/>
        <sz val="14"/>
        <rFont val="맑은 고딕"/>
        <family val="3"/>
        <charset val="129"/>
        <scheme val="minor"/>
      </rPr>
      <t>12.95% </t>
    </r>
    <phoneticPr fontId="3" type="noConversion"/>
  </si>
  <si>
    <r>
      <t>건강보험료×</t>
    </r>
    <r>
      <rPr>
        <b/>
        <sz val="14"/>
        <rFont val="맑은 고딕"/>
        <family val="3"/>
        <charset val="129"/>
        <scheme val="minor"/>
      </rPr>
      <t>12.95%</t>
    </r>
    <r>
      <rPr>
        <sz val="14"/>
        <rFont val="맑은 고딕"/>
        <family val="3"/>
        <charset val="129"/>
        <scheme val="minor"/>
      </rPr>
      <t> </t>
    </r>
    <phoneticPr fontId="3" type="noConversion"/>
  </si>
  <si>
    <r>
      <t xml:space="preserve">0.9%
</t>
    </r>
    <r>
      <rPr>
        <sz val="11"/>
        <rFont val="맑은 고딕"/>
        <family val="3"/>
        <charset val="129"/>
        <scheme val="minor"/>
      </rPr>
      <t>(실업급여 : 0.9%)</t>
    </r>
    <phoneticPr fontId="3" type="noConversion"/>
  </si>
  <si>
    <r>
      <t xml:space="preserve">1.75%
</t>
    </r>
    <r>
      <rPr>
        <sz val="12"/>
        <rFont val="맑은 고딕"/>
        <family val="3"/>
        <charset val="129"/>
        <scheme val="minor"/>
      </rPr>
      <t>(실업급여 : 0.9% + 고용안정</t>
    </r>
    <r>
      <rPr>
        <sz val="12"/>
        <rFont val="맑은 고딕"/>
        <family val="3"/>
        <charset val="129"/>
      </rPr>
      <t>·</t>
    </r>
    <r>
      <rPr>
        <sz val="12"/>
        <rFont val="맑은 고딕"/>
        <family val="3"/>
        <charset val="129"/>
        <scheme val="minor"/>
      </rPr>
      <t>직업능력개발사업 : 0.85%)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</si>
</sst>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_(* #,##0_);_(* \(#,##0\);_(* &quot;-&quot;_);_(@_)"/>
    <numFmt numFmtId="177" formatCode="0.000%"/>
    <numFmt numFmtId="178" formatCode="0.0%"/>
    <numFmt numFmtId="179" formatCode="#,###&quot;원&quot;"/>
  </numFmts>
  <fonts count="3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4"/>
      <name val="바탕"/>
      <family val="1"/>
      <charset val="129"/>
    </font>
    <font>
      <sz val="8"/>
      <name val="맑은 고딕"/>
      <family val="2"/>
      <charset val="129"/>
      <scheme val="minor"/>
    </font>
    <font>
      <b/>
      <sz val="2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3"/>
      <color rgb="FFFF0000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16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color indexed="81"/>
      <name val="함초롬돋움"/>
      <family val="3"/>
      <charset val="129"/>
    </font>
    <font>
      <sz val="13"/>
      <color rgb="FFFF0000"/>
      <name val="함초롬돋움"/>
      <family val="3"/>
      <charset val="129"/>
    </font>
    <font>
      <b/>
      <sz val="18"/>
      <color theme="1"/>
      <name val="함초롬돋움"/>
      <family val="3"/>
      <charset val="129"/>
    </font>
    <font>
      <b/>
      <sz val="11"/>
      <color theme="1"/>
      <name val="함초롬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u/>
      <sz val="13"/>
      <name val="함초롬돋움"/>
      <family val="3"/>
      <charset val="129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b/>
      <u/>
      <sz val="11"/>
      <color theme="1"/>
      <name val="함초롬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theme="3"/>
      <name val="맑은 고딕"/>
      <family val="2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FF0000"/>
      <name val="함초롬돋움"/>
      <family val="3"/>
      <charset val="129"/>
    </font>
    <font>
      <b/>
      <u/>
      <sz val="11"/>
      <color rgb="FFFF0000"/>
      <name val="함초롬돋움"/>
      <family val="3"/>
      <charset val="129"/>
    </font>
    <font>
      <b/>
      <sz val="13"/>
      <color rgb="FF0070C0"/>
      <name val="함초롬돋움"/>
      <family val="3"/>
      <charset val="129"/>
    </font>
    <font>
      <b/>
      <sz val="13"/>
      <color rgb="FFFF0000"/>
      <name val="함초롬돋움"/>
      <family val="3"/>
      <charset val="129"/>
    </font>
    <font>
      <b/>
      <sz val="14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gradientFill degree="180">
        <stop position="0">
          <color theme="0"/>
        </stop>
        <stop position="1">
          <color theme="5" tint="0.80001220740379042"/>
        </stop>
      </gradientFill>
    </fill>
    <fill>
      <gradientFill degree="180">
        <stop position="0">
          <color theme="0"/>
        </stop>
        <stop position="1">
          <color rgb="FFFFFF99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92">
    <xf numFmtId="0" fontId="0" fillId="0" borderId="0">
      <alignment vertical="center"/>
    </xf>
    <xf numFmtId="0" fontId="1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5" fillId="0" borderId="4" xfId="1" applyFont="1" applyBorder="1" applyAlignment="1" applyProtection="1">
      <alignment horizontal="center" vertical="center" shrinkToFit="1"/>
      <protection locked="0"/>
    </xf>
    <xf numFmtId="0" fontId="5" fillId="0" borderId="7" xfId="1" applyFont="1" applyFill="1" applyBorder="1" applyAlignment="1" applyProtection="1">
      <alignment horizontal="center" vertical="center" shrinkToFit="1"/>
      <protection locked="0"/>
    </xf>
    <xf numFmtId="0" fontId="7" fillId="0" borderId="0" xfId="0" applyFont="1">
      <alignment vertical="center"/>
    </xf>
    <xf numFmtId="0" fontId="0" fillId="0" borderId="0" xfId="0" applyNumberFormat="1" applyFill="1" applyProtection="1">
      <alignment vertical="center"/>
      <protection hidden="1"/>
    </xf>
    <xf numFmtId="0" fontId="0" fillId="0" borderId="0" xfId="0" applyNumberFormat="1" applyFill="1" applyAlignment="1" applyProtection="1">
      <alignment horizontal="right" vertical="center"/>
      <protection hidden="1"/>
    </xf>
    <xf numFmtId="3" fontId="0" fillId="0" borderId="0" xfId="0" applyNumberFormat="1" applyFill="1" applyProtection="1">
      <alignment vertical="center"/>
      <protection hidden="1"/>
    </xf>
    <xf numFmtId="0" fontId="5" fillId="0" borderId="10" xfId="1" applyFont="1" applyBorder="1" applyAlignment="1" applyProtection="1">
      <alignment horizontal="center" vertical="center" shrinkToFit="1"/>
      <protection locked="0"/>
    </xf>
    <xf numFmtId="0" fontId="12" fillId="2" borderId="11" xfId="1" applyFont="1" applyFill="1" applyBorder="1" applyAlignment="1" applyProtection="1">
      <alignment horizontal="center" vertical="center" shrinkToFit="1"/>
      <protection locked="0"/>
    </xf>
    <xf numFmtId="0" fontId="12" fillId="2" borderId="12" xfId="1" applyFont="1" applyFill="1" applyBorder="1" applyAlignment="1" applyProtection="1">
      <alignment horizontal="center" vertical="center" shrinkToFit="1"/>
      <protection locked="0"/>
    </xf>
    <xf numFmtId="0" fontId="12" fillId="2" borderId="13" xfId="1" applyFont="1" applyFill="1" applyBorder="1" applyAlignment="1" applyProtection="1">
      <alignment horizontal="center" vertical="center" shrinkToFit="1"/>
      <protection locked="0"/>
    </xf>
    <xf numFmtId="0" fontId="5" fillId="0" borderId="8" xfId="1" applyFont="1" applyFill="1" applyBorder="1" applyAlignment="1" applyProtection="1">
      <alignment horizontal="center" vertical="center" shrinkToFit="1"/>
      <protection locked="0"/>
    </xf>
    <xf numFmtId="0" fontId="5" fillId="0" borderId="15" xfId="1" applyFont="1" applyBorder="1" applyAlignment="1" applyProtection="1">
      <alignment horizontal="center" vertical="center" shrinkToFit="1"/>
      <protection locked="0"/>
    </xf>
    <xf numFmtId="0" fontId="12" fillId="2" borderId="9" xfId="1" applyFont="1" applyFill="1" applyBorder="1" applyAlignment="1" applyProtection="1">
      <alignment horizontal="center" vertical="center" shrinkToFit="1"/>
      <protection locked="0"/>
    </xf>
    <xf numFmtId="0" fontId="12" fillId="2" borderId="16" xfId="1" applyFont="1" applyFill="1" applyBorder="1" applyAlignment="1" applyProtection="1">
      <alignment horizontal="center" vertical="center" shrinkToFit="1"/>
      <protection locked="0"/>
    </xf>
    <xf numFmtId="0" fontId="12" fillId="2" borderId="17" xfId="1" applyFont="1" applyFill="1" applyBorder="1" applyAlignment="1" applyProtection="1">
      <alignment horizontal="center" vertical="center" shrinkToFit="1"/>
      <protection locked="0"/>
    </xf>
    <xf numFmtId="0" fontId="12" fillId="2" borderId="18" xfId="1" applyFont="1" applyFill="1" applyBorder="1" applyAlignment="1" applyProtection="1">
      <alignment horizontal="center" vertical="center" shrinkToFit="1"/>
      <protection locked="0"/>
    </xf>
    <xf numFmtId="0" fontId="11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3" fillId="0" borderId="0" xfId="0" applyFont="1">
      <alignment vertical="center"/>
    </xf>
    <xf numFmtId="0" fontId="10" fillId="0" borderId="0" xfId="0" applyNumberFormat="1" applyFont="1" applyFill="1" applyAlignment="1" applyProtection="1">
      <alignment vertical="center" wrapText="1"/>
      <protection hidden="1"/>
    </xf>
    <xf numFmtId="0" fontId="2" fillId="0" borderId="0" xfId="1" applyFont="1" applyBorder="1" applyAlignment="1" applyProtection="1">
      <alignment vertical="center" shrinkToFit="1"/>
      <protection locked="0"/>
    </xf>
    <xf numFmtId="0" fontId="13" fillId="3" borderId="0" xfId="0" applyFont="1" applyFill="1" applyBorder="1" applyAlignment="1">
      <alignment horizontal="center" vertical="center"/>
    </xf>
    <xf numFmtId="176" fontId="7" fillId="5" borderId="0" xfId="0" applyNumberFormat="1" applyFont="1" applyFill="1">
      <alignment vertical="center"/>
    </xf>
    <xf numFmtId="176" fontId="7" fillId="6" borderId="0" xfId="0" applyNumberFormat="1" applyFont="1" applyFill="1">
      <alignment vertical="center"/>
    </xf>
    <xf numFmtId="10" fontId="5" fillId="0" borderId="8" xfId="1" applyNumberFormat="1" applyFont="1" applyFill="1" applyBorder="1" applyAlignment="1" applyProtection="1">
      <alignment horizontal="center" vertical="center" wrapText="1" shrinkToFit="1"/>
      <protection locked="0"/>
    </xf>
    <xf numFmtId="10" fontId="5" fillId="0" borderId="1" xfId="1" applyNumberFormat="1" applyFont="1" applyFill="1" applyBorder="1" applyAlignment="1" applyProtection="1">
      <alignment horizontal="center" vertical="center" wrapText="1" shrinkToFit="1"/>
      <protection locked="0"/>
    </xf>
    <xf numFmtId="0" fontId="0" fillId="0" borderId="0" xfId="0" applyAlignment="1">
      <alignment vertical="center" wrapText="1"/>
    </xf>
    <xf numFmtId="176" fontId="7" fillId="0" borderId="0" xfId="0" applyNumberFormat="1" applyFont="1">
      <alignment vertical="center"/>
    </xf>
    <xf numFmtId="176" fontId="7" fillId="0" borderId="0" xfId="3" applyFont="1">
      <alignment vertical="center"/>
    </xf>
    <xf numFmtId="178" fontId="5" fillId="0" borderId="14" xfId="1" applyNumberFormat="1" applyFont="1" applyBorder="1" applyAlignment="1" applyProtection="1">
      <alignment horizontal="center" vertical="center" shrinkToFit="1"/>
      <protection locked="0"/>
    </xf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6" xfId="0" applyNumberFormat="1" applyBorder="1" applyAlignment="1">
      <alignment horizontal="center" vertical="center"/>
    </xf>
    <xf numFmtId="176" fontId="0" fillId="5" borderId="0" xfId="42" applyFont="1" applyFill="1" applyAlignment="1">
      <alignment horizontal="center" vertical="center"/>
    </xf>
    <xf numFmtId="0" fontId="0" fillId="7" borderId="1" xfId="0" applyFill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0" fillId="0" borderId="1" xfId="0" applyBorder="1">
      <alignment vertical="center"/>
    </xf>
    <xf numFmtId="176" fontId="0" fillId="0" borderId="1" xfId="42" applyFont="1" applyBorder="1">
      <alignment vertical="center"/>
    </xf>
    <xf numFmtId="0" fontId="28" fillId="0" borderId="0" xfId="0" applyFont="1">
      <alignment vertical="center"/>
    </xf>
    <xf numFmtId="0" fontId="13" fillId="8" borderId="1" xfId="0" applyFont="1" applyFill="1" applyBorder="1">
      <alignment vertical="center"/>
    </xf>
    <xf numFmtId="0" fontId="13" fillId="8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>
      <alignment vertical="center"/>
    </xf>
    <xf numFmtId="0" fontId="13" fillId="1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7" fillId="0" borderId="0" xfId="0" applyFont="1" applyFill="1" applyBorder="1">
      <alignment vertical="center"/>
    </xf>
    <xf numFmtId="177" fontId="5" fillId="0" borderId="8" xfId="1" applyNumberFormat="1" applyFont="1" applyFill="1" applyBorder="1" applyAlignment="1" applyProtection="1">
      <alignment horizontal="center" vertical="center" shrinkToFit="1"/>
      <protection locked="0"/>
    </xf>
    <xf numFmtId="0" fontId="9" fillId="0" borderId="19" xfId="0" applyFont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7" fillId="0" borderId="5" xfId="0" applyFont="1" applyBorder="1">
      <alignment vertical="center"/>
    </xf>
    <xf numFmtId="176" fontId="8" fillId="5" borderId="6" xfId="3" applyFont="1" applyFill="1" applyBorder="1" applyAlignment="1">
      <alignment horizontal="center" vertical="center"/>
    </xf>
    <xf numFmtId="176" fontId="7" fillId="0" borderId="6" xfId="3" applyFont="1" applyBorder="1" applyAlignment="1">
      <alignment horizontal="center" vertical="center"/>
    </xf>
    <xf numFmtId="176" fontId="7" fillId="0" borderId="7" xfId="3" applyFont="1" applyBorder="1" applyAlignment="1">
      <alignment horizontal="center" vertical="center"/>
    </xf>
    <xf numFmtId="0" fontId="5" fillId="0" borderId="30" xfId="1" applyFont="1" applyBorder="1" applyAlignment="1" applyProtection="1">
      <alignment horizontal="center" vertical="center" shrinkToFit="1"/>
      <protection locked="0"/>
    </xf>
    <xf numFmtId="0" fontId="0" fillId="0" borderId="31" xfId="0" applyBorder="1" applyAlignment="1">
      <alignment horizontal="left" vertical="center" wrapText="1"/>
    </xf>
    <xf numFmtId="0" fontId="7" fillId="0" borderId="0" xfId="0" applyFont="1" applyBorder="1">
      <alignment vertical="center"/>
    </xf>
    <xf numFmtId="0" fontId="9" fillId="0" borderId="0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15" borderId="1" xfId="0" applyFont="1" applyFill="1" applyBorder="1">
      <alignment vertical="center"/>
    </xf>
    <xf numFmtId="0" fontId="0" fillId="15" borderId="1" xfId="0" applyFill="1" applyBorder="1">
      <alignment vertical="center"/>
    </xf>
    <xf numFmtId="176" fontId="0" fillId="15" borderId="1" xfId="42" applyFont="1" applyFill="1" applyBorder="1">
      <alignment vertical="center"/>
    </xf>
    <xf numFmtId="0" fontId="12" fillId="2" borderId="17" xfId="1" applyFont="1" applyFill="1" applyBorder="1" applyAlignment="1" applyProtection="1">
      <alignment horizontal="center" vertical="center" wrapText="1" shrinkToFit="1"/>
      <protection locked="0"/>
    </xf>
    <xf numFmtId="0" fontId="20" fillId="0" borderId="0" xfId="2" applyAlignment="1">
      <alignment horizontal="right"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177" fontId="37" fillId="0" borderId="6" xfId="1" applyNumberFormat="1" applyFont="1" applyFill="1" applyBorder="1" applyAlignment="1" applyProtection="1">
      <alignment horizontal="center" vertical="center" shrinkToFit="1"/>
      <protection locked="0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2" xfId="1" applyFont="1" applyBorder="1" applyAlignment="1" applyProtection="1">
      <alignment horizontal="center" vertical="center" shrinkToFit="1"/>
      <protection locked="0"/>
    </xf>
    <xf numFmtId="0" fontId="4" fillId="0" borderId="23" xfId="1" applyFont="1" applyBorder="1" applyAlignment="1" applyProtection="1">
      <alignment horizontal="center" vertical="center" shrinkToFit="1"/>
      <protection locked="0"/>
    </xf>
    <xf numFmtId="0" fontId="4" fillId="0" borderId="24" xfId="1" applyFont="1" applyBorder="1" applyAlignment="1" applyProtection="1">
      <alignment horizontal="center" vertical="center" shrinkToFit="1"/>
      <protection locked="0"/>
    </xf>
    <xf numFmtId="0" fontId="7" fillId="14" borderId="2" xfId="0" applyFont="1" applyFill="1" applyBorder="1" applyAlignment="1">
      <alignment horizontal="center" vertical="center"/>
    </xf>
    <xf numFmtId="0" fontId="7" fillId="14" borderId="29" xfId="0" applyFont="1" applyFill="1" applyBorder="1" applyAlignment="1">
      <alignment horizontal="center" vertical="center"/>
    </xf>
    <xf numFmtId="0" fontId="35" fillId="0" borderId="22" xfId="0" applyNumberFormat="1" applyFont="1" applyFill="1" applyBorder="1" applyAlignment="1" applyProtection="1">
      <alignment horizontal="left" vertical="center" wrapText="1"/>
      <protection hidden="1"/>
    </xf>
    <xf numFmtId="0" fontId="35" fillId="0" borderId="23" xfId="0" applyNumberFormat="1" applyFont="1" applyFill="1" applyBorder="1" applyAlignment="1" applyProtection="1">
      <alignment horizontal="left" vertical="center" wrapText="1"/>
      <protection hidden="1"/>
    </xf>
    <xf numFmtId="0" fontId="35" fillId="0" borderId="24" xfId="0" applyNumberFormat="1" applyFont="1" applyFill="1" applyBorder="1" applyAlignment="1" applyProtection="1">
      <alignment horizontal="left" vertical="center" wrapText="1"/>
      <protection hidden="1"/>
    </xf>
    <xf numFmtId="0" fontId="17" fillId="0" borderId="25" xfId="0" applyNumberFormat="1" applyFont="1" applyFill="1" applyBorder="1" applyAlignment="1" applyProtection="1">
      <alignment horizontal="left" vertical="center" wrapText="1"/>
      <protection hidden="1"/>
    </xf>
    <xf numFmtId="0" fontId="17" fillId="0" borderId="26" xfId="0" applyNumberFormat="1" applyFont="1" applyFill="1" applyBorder="1" applyAlignment="1" applyProtection="1">
      <alignment horizontal="left" vertical="center" wrapText="1"/>
      <protection hidden="1"/>
    </xf>
    <xf numFmtId="0" fontId="17" fillId="0" borderId="27" xfId="0" applyNumberFormat="1" applyFont="1" applyFill="1" applyBorder="1" applyAlignment="1" applyProtection="1">
      <alignment horizontal="left" vertical="center" wrapText="1"/>
      <protection hidden="1"/>
    </xf>
    <xf numFmtId="0" fontId="9" fillId="0" borderId="2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9" fillId="0" borderId="21" xfId="0" applyFont="1" applyBorder="1" applyAlignment="1">
      <alignment horizontal="left" vertical="center" wrapText="1"/>
    </xf>
    <xf numFmtId="0" fontId="19" fillId="0" borderId="19" xfId="0" applyFont="1" applyBorder="1" applyAlignment="1">
      <alignment horizontal="left" vertical="center" wrapText="1"/>
    </xf>
    <xf numFmtId="0" fontId="19" fillId="0" borderId="20" xfId="0" applyFont="1" applyBorder="1" applyAlignment="1">
      <alignment horizontal="left" vertical="center" wrapText="1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0" fillId="0" borderId="3" xfId="0" quotePrefix="1" applyBorder="1" applyAlignment="1">
      <alignment horizontal="left" vertical="center" wrapText="1"/>
    </xf>
    <xf numFmtId="0" fontId="0" fillId="0" borderId="4" xfId="0" quotePrefix="1" applyBorder="1" applyAlignment="1">
      <alignment horizontal="left" vertical="center" wrapText="1"/>
    </xf>
    <xf numFmtId="0" fontId="0" fillId="0" borderId="7" xfId="0" quotePrefix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</cellXfs>
  <cellStyles count="192">
    <cellStyle name="쉼표 [0]" xfId="3" builtinId="6"/>
    <cellStyle name="쉼표 [0] 10" xfId="61"/>
    <cellStyle name="쉼표 [0] 10 2" xfId="107"/>
    <cellStyle name="쉼표 [0] 11" xfId="52"/>
    <cellStyle name="쉼표 [0] 12" xfId="98"/>
    <cellStyle name="쉼표 [0] 13" xfId="144"/>
    <cellStyle name="쉼표 [0] 14" xfId="154"/>
    <cellStyle name="쉼표 [0] 15" xfId="155"/>
    <cellStyle name="쉼표 [0] 16" xfId="15"/>
    <cellStyle name="쉼표 [0] 2" xfId="5"/>
    <cellStyle name="쉼표 [0] 2 10" xfId="156"/>
    <cellStyle name="쉼표 [0] 2 11" xfId="16"/>
    <cellStyle name="쉼표 [0] 2 2" xfId="10"/>
    <cellStyle name="쉼표 [0] 2 2 10" xfId="20"/>
    <cellStyle name="쉼표 [0] 2 2 2" xfId="38"/>
    <cellStyle name="쉼표 [0] 2 2 2 2" xfId="84"/>
    <cellStyle name="쉼표 [0] 2 2 2 3" xfId="130"/>
    <cellStyle name="쉼표 [0] 2 2 2 4" xfId="178"/>
    <cellStyle name="쉼표 [0] 2 2 3" xfId="29"/>
    <cellStyle name="쉼표 [0] 2 2 3 2" xfId="75"/>
    <cellStyle name="쉼표 [0] 2 2 3 3" xfId="121"/>
    <cellStyle name="쉼표 [0] 2 2 3 4" xfId="169"/>
    <cellStyle name="쉼표 [0] 2 2 4" xfId="47"/>
    <cellStyle name="쉼표 [0] 2 2 4 2" xfId="93"/>
    <cellStyle name="쉼표 [0] 2 2 4 3" xfId="139"/>
    <cellStyle name="쉼표 [0] 2 2 4 4" xfId="187"/>
    <cellStyle name="쉼표 [0] 2 2 5" xfId="66"/>
    <cellStyle name="쉼표 [0] 2 2 5 2" xfId="112"/>
    <cellStyle name="쉼표 [0] 2 2 6" xfId="57"/>
    <cellStyle name="쉼표 [0] 2 2 7" xfId="103"/>
    <cellStyle name="쉼표 [0] 2 2 8" xfId="149"/>
    <cellStyle name="쉼표 [0] 2 2 9" xfId="160"/>
    <cellStyle name="쉼표 [0] 2 3" xfId="34"/>
    <cellStyle name="쉼표 [0] 2 3 2" xfId="80"/>
    <cellStyle name="쉼표 [0] 2 3 3" xfId="126"/>
    <cellStyle name="쉼표 [0] 2 3 4" xfId="174"/>
    <cellStyle name="쉼표 [0] 2 4" xfId="25"/>
    <cellStyle name="쉼표 [0] 2 4 2" xfId="71"/>
    <cellStyle name="쉼표 [0] 2 4 3" xfId="117"/>
    <cellStyle name="쉼표 [0] 2 4 4" xfId="165"/>
    <cellStyle name="쉼표 [0] 2 5" xfId="43"/>
    <cellStyle name="쉼표 [0] 2 5 2" xfId="89"/>
    <cellStyle name="쉼표 [0] 2 5 3" xfId="135"/>
    <cellStyle name="쉼표 [0] 2 5 4" xfId="183"/>
    <cellStyle name="쉼표 [0] 2 6" xfId="62"/>
    <cellStyle name="쉼표 [0] 2 6 2" xfId="108"/>
    <cellStyle name="쉼표 [0] 2 7" xfId="53"/>
    <cellStyle name="쉼표 [0] 2 8" xfId="99"/>
    <cellStyle name="쉼표 [0] 2 9" xfId="145"/>
    <cellStyle name="쉼표 [0] 3" xfId="7"/>
    <cellStyle name="쉼표 [0] 3 10" xfId="157"/>
    <cellStyle name="쉼표 [0] 3 11" xfId="17"/>
    <cellStyle name="쉼표 [0] 3 2" xfId="11"/>
    <cellStyle name="쉼표 [0] 3 2 10" xfId="21"/>
    <cellStyle name="쉼표 [0] 3 2 2" xfId="39"/>
    <cellStyle name="쉼표 [0] 3 2 2 2" xfId="85"/>
    <cellStyle name="쉼표 [0] 3 2 2 3" xfId="131"/>
    <cellStyle name="쉼표 [0] 3 2 2 4" xfId="179"/>
    <cellStyle name="쉼표 [0] 3 2 3" xfId="30"/>
    <cellStyle name="쉼표 [0] 3 2 3 2" xfId="76"/>
    <cellStyle name="쉼표 [0] 3 2 3 3" xfId="122"/>
    <cellStyle name="쉼표 [0] 3 2 3 4" xfId="170"/>
    <cellStyle name="쉼표 [0] 3 2 4" xfId="48"/>
    <cellStyle name="쉼표 [0] 3 2 4 2" xfId="94"/>
    <cellStyle name="쉼표 [0] 3 2 4 3" xfId="140"/>
    <cellStyle name="쉼표 [0] 3 2 4 4" xfId="188"/>
    <cellStyle name="쉼표 [0] 3 2 5" xfId="67"/>
    <cellStyle name="쉼표 [0] 3 2 5 2" xfId="113"/>
    <cellStyle name="쉼표 [0] 3 2 6" xfId="58"/>
    <cellStyle name="쉼표 [0] 3 2 7" xfId="104"/>
    <cellStyle name="쉼표 [0] 3 2 8" xfId="150"/>
    <cellStyle name="쉼표 [0] 3 2 9" xfId="161"/>
    <cellStyle name="쉼표 [0] 3 3" xfId="35"/>
    <cellStyle name="쉼표 [0] 3 3 2" xfId="81"/>
    <cellStyle name="쉼표 [0] 3 3 3" xfId="127"/>
    <cellStyle name="쉼표 [0] 3 3 4" xfId="175"/>
    <cellStyle name="쉼표 [0] 3 4" xfId="26"/>
    <cellStyle name="쉼표 [0] 3 4 2" xfId="72"/>
    <cellStyle name="쉼표 [0] 3 4 3" xfId="118"/>
    <cellStyle name="쉼표 [0] 3 4 4" xfId="166"/>
    <cellStyle name="쉼표 [0] 3 5" xfId="44"/>
    <cellStyle name="쉼표 [0] 3 5 2" xfId="90"/>
    <cellStyle name="쉼표 [0] 3 5 3" xfId="136"/>
    <cellStyle name="쉼표 [0] 3 5 4" xfId="184"/>
    <cellStyle name="쉼표 [0] 3 6" xfId="63"/>
    <cellStyle name="쉼표 [0] 3 6 2" xfId="109"/>
    <cellStyle name="쉼표 [0] 3 7" xfId="54"/>
    <cellStyle name="쉼표 [0] 3 8" xfId="100"/>
    <cellStyle name="쉼표 [0] 3 9" xfId="146"/>
    <cellStyle name="쉼표 [0] 4" xfId="8"/>
    <cellStyle name="쉼표 [0] 4 10" xfId="158"/>
    <cellStyle name="쉼표 [0] 4 11" xfId="18"/>
    <cellStyle name="쉼표 [0] 4 2" xfId="12"/>
    <cellStyle name="쉼표 [0] 4 2 10" xfId="22"/>
    <cellStyle name="쉼표 [0] 4 2 2" xfId="40"/>
    <cellStyle name="쉼표 [0] 4 2 2 2" xfId="86"/>
    <cellStyle name="쉼표 [0] 4 2 2 3" xfId="132"/>
    <cellStyle name="쉼표 [0] 4 2 2 4" xfId="180"/>
    <cellStyle name="쉼표 [0] 4 2 3" xfId="31"/>
    <cellStyle name="쉼표 [0] 4 2 3 2" xfId="77"/>
    <cellStyle name="쉼표 [0] 4 2 3 3" xfId="123"/>
    <cellStyle name="쉼표 [0] 4 2 3 4" xfId="171"/>
    <cellStyle name="쉼표 [0] 4 2 4" xfId="49"/>
    <cellStyle name="쉼표 [0] 4 2 4 2" xfId="95"/>
    <cellStyle name="쉼표 [0] 4 2 4 3" xfId="141"/>
    <cellStyle name="쉼표 [0] 4 2 4 4" xfId="189"/>
    <cellStyle name="쉼표 [0] 4 2 5" xfId="68"/>
    <cellStyle name="쉼표 [0] 4 2 5 2" xfId="114"/>
    <cellStyle name="쉼표 [0] 4 2 6" xfId="59"/>
    <cellStyle name="쉼표 [0] 4 2 7" xfId="105"/>
    <cellStyle name="쉼표 [0] 4 2 8" xfId="151"/>
    <cellStyle name="쉼표 [0] 4 2 9" xfId="162"/>
    <cellStyle name="쉼표 [0] 4 3" xfId="36"/>
    <cellStyle name="쉼표 [0] 4 3 2" xfId="82"/>
    <cellStyle name="쉼표 [0] 4 3 3" xfId="128"/>
    <cellStyle name="쉼표 [0] 4 3 4" xfId="176"/>
    <cellStyle name="쉼표 [0] 4 4" xfId="27"/>
    <cellStyle name="쉼표 [0] 4 4 2" xfId="73"/>
    <cellStyle name="쉼표 [0] 4 4 3" xfId="119"/>
    <cellStyle name="쉼표 [0] 4 4 4" xfId="167"/>
    <cellStyle name="쉼표 [0] 4 5" xfId="45"/>
    <cellStyle name="쉼표 [0] 4 5 2" xfId="91"/>
    <cellStyle name="쉼표 [0] 4 5 3" xfId="137"/>
    <cellStyle name="쉼표 [0] 4 5 4" xfId="185"/>
    <cellStyle name="쉼표 [0] 4 6" xfId="64"/>
    <cellStyle name="쉼표 [0] 4 6 2" xfId="110"/>
    <cellStyle name="쉼표 [0] 4 7" xfId="55"/>
    <cellStyle name="쉼표 [0] 4 8" xfId="101"/>
    <cellStyle name="쉼표 [0] 4 9" xfId="147"/>
    <cellStyle name="쉼표 [0] 5" xfId="9"/>
    <cellStyle name="쉼표 [0] 5 10" xfId="19"/>
    <cellStyle name="쉼표 [0] 5 2" xfId="37"/>
    <cellStyle name="쉼표 [0] 5 2 2" xfId="83"/>
    <cellStyle name="쉼표 [0] 5 2 3" xfId="129"/>
    <cellStyle name="쉼표 [0] 5 2 4" xfId="177"/>
    <cellStyle name="쉼표 [0] 5 3" xfId="28"/>
    <cellStyle name="쉼표 [0] 5 3 2" xfId="74"/>
    <cellStyle name="쉼표 [0] 5 3 3" xfId="120"/>
    <cellStyle name="쉼표 [0] 5 3 4" xfId="168"/>
    <cellStyle name="쉼표 [0] 5 4" xfId="46"/>
    <cellStyle name="쉼표 [0] 5 4 2" xfId="92"/>
    <cellStyle name="쉼표 [0] 5 4 3" xfId="138"/>
    <cellStyle name="쉼표 [0] 5 4 4" xfId="186"/>
    <cellStyle name="쉼표 [0] 5 5" xfId="65"/>
    <cellStyle name="쉼표 [0] 5 5 2" xfId="111"/>
    <cellStyle name="쉼표 [0] 5 6" xfId="56"/>
    <cellStyle name="쉼표 [0] 5 7" xfId="102"/>
    <cellStyle name="쉼표 [0] 5 8" xfId="148"/>
    <cellStyle name="쉼표 [0] 5 9" xfId="159"/>
    <cellStyle name="쉼표 [0] 6" xfId="13"/>
    <cellStyle name="쉼표 [0] 6 10" xfId="23"/>
    <cellStyle name="쉼표 [0] 6 2" xfId="41"/>
    <cellStyle name="쉼표 [0] 6 2 2" xfId="87"/>
    <cellStyle name="쉼표 [0] 6 2 3" xfId="133"/>
    <cellStyle name="쉼표 [0] 6 2 4" xfId="181"/>
    <cellStyle name="쉼표 [0] 6 3" xfId="32"/>
    <cellStyle name="쉼표 [0] 6 3 2" xfId="78"/>
    <cellStyle name="쉼표 [0] 6 3 3" xfId="124"/>
    <cellStyle name="쉼표 [0] 6 3 4" xfId="172"/>
    <cellStyle name="쉼표 [0] 6 4" xfId="50"/>
    <cellStyle name="쉼표 [0] 6 4 2" xfId="96"/>
    <cellStyle name="쉼표 [0] 6 4 3" xfId="142"/>
    <cellStyle name="쉼표 [0] 6 4 4" xfId="190"/>
    <cellStyle name="쉼표 [0] 6 5" xfId="69"/>
    <cellStyle name="쉼표 [0] 6 5 2" xfId="115"/>
    <cellStyle name="쉼표 [0] 6 6" xfId="60"/>
    <cellStyle name="쉼표 [0] 6 7" xfId="106"/>
    <cellStyle name="쉼표 [0] 6 8" xfId="152"/>
    <cellStyle name="쉼표 [0] 6 9" xfId="163"/>
    <cellStyle name="쉼표 [0] 7" xfId="14"/>
    <cellStyle name="쉼표 [0] 7 2" xfId="51"/>
    <cellStyle name="쉼표 [0] 7 2 2" xfId="97"/>
    <cellStyle name="쉼표 [0] 7 2 3" xfId="143"/>
    <cellStyle name="쉼표 [0] 7 2 4" xfId="191"/>
    <cellStyle name="쉼표 [0] 7 3" xfId="79"/>
    <cellStyle name="쉼표 [0] 7 4" xfId="125"/>
    <cellStyle name="쉼표 [0] 7 5" xfId="153"/>
    <cellStyle name="쉼표 [0] 7 6" xfId="173"/>
    <cellStyle name="쉼표 [0] 7 7" xfId="33"/>
    <cellStyle name="쉼표 [0] 8" xfId="24"/>
    <cellStyle name="쉼표 [0] 8 2" xfId="70"/>
    <cellStyle name="쉼표 [0] 8 3" xfId="116"/>
    <cellStyle name="쉼표 [0] 8 4" xfId="164"/>
    <cellStyle name="쉼표 [0] 9" xfId="42"/>
    <cellStyle name="쉼표 [0] 9 2" xfId="88"/>
    <cellStyle name="쉼표 [0] 9 3" xfId="134"/>
    <cellStyle name="쉼표 [0] 9 4" xfId="182"/>
    <cellStyle name="표준" xfId="0" builtinId="0"/>
    <cellStyle name="표준 2" xfId="1"/>
    <cellStyle name="표준 3" xfId="4"/>
    <cellStyle name="하이퍼링크" xfId="2" builtinId="8"/>
    <cellStyle name="하이퍼링크 2" xfId="6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F10"/>
  <sheetViews>
    <sheetView tabSelected="1" zoomScale="85" zoomScaleNormal="85" workbookViewId="0">
      <selection sqref="A1:D1"/>
    </sheetView>
  </sheetViews>
  <sheetFormatPr defaultRowHeight="16.5" x14ac:dyDescent="0.3"/>
  <cols>
    <col min="1" max="1" width="17.25" customWidth="1"/>
    <col min="2" max="2" width="26.125" customWidth="1"/>
    <col min="3" max="3" width="33.75" customWidth="1"/>
    <col min="4" max="4" width="32" bestFit="1" customWidth="1"/>
    <col min="5" max="5" width="76.375" customWidth="1"/>
    <col min="6" max="6" width="55.125" customWidth="1"/>
  </cols>
  <sheetData>
    <row r="1" spans="1:6" ht="35.25" customHeight="1" thickBot="1" x14ac:dyDescent="0.35">
      <c r="A1" s="83" t="s">
        <v>91</v>
      </c>
      <c r="B1" s="84"/>
      <c r="C1" s="84"/>
      <c r="D1" s="85"/>
    </row>
    <row r="2" spans="1:6" ht="19.5" thickBot="1" x14ac:dyDescent="0.35">
      <c r="B2" s="21"/>
      <c r="C2" s="21"/>
      <c r="D2" s="79" t="s">
        <v>21</v>
      </c>
    </row>
    <row r="3" spans="1:6" ht="34.5" customHeight="1" thickBot="1" x14ac:dyDescent="0.35">
      <c r="A3" s="13" t="s">
        <v>19</v>
      </c>
      <c r="B3" s="10" t="s">
        <v>4</v>
      </c>
      <c r="C3" s="8" t="s">
        <v>5</v>
      </c>
      <c r="D3" s="9" t="s">
        <v>20</v>
      </c>
    </row>
    <row r="4" spans="1:6" ht="82.5" x14ac:dyDescent="0.3">
      <c r="A4" s="14" t="s">
        <v>0</v>
      </c>
      <c r="B4" s="30">
        <v>4.4999999999999998E-2</v>
      </c>
      <c r="C4" s="30">
        <v>4.4999999999999998E-2</v>
      </c>
      <c r="D4" s="7" t="s">
        <v>8</v>
      </c>
      <c r="E4" s="81" t="s">
        <v>99</v>
      </c>
      <c r="F4" s="27"/>
    </row>
    <row r="5" spans="1:6" ht="49.5" x14ac:dyDescent="0.3">
      <c r="A5" s="15" t="s">
        <v>1</v>
      </c>
      <c r="B5" s="57">
        <v>3.5450000000000002E-2</v>
      </c>
      <c r="C5" s="57">
        <v>3.5450000000000002E-2</v>
      </c>
      <c r="D5" s="1" t="s">
        <v>8</v>
      </c>
      <c r="E5" s="80" t="s">
        <v>94</v>
      </c>
    </row>
    <row r="6" spans="1:6" ht="26.25" x14ac:dyDescent="0.3">
      <c r="A6" s="15" t="s">
        <v>2</v>
      </c>
      <c r="B6" s="11" t="s">
        <v>101</v>
      </c>
      <c r="C6" s="11" t="s">
        <v>100</v>
      </c>
      <c r="D6" s="1" t="s">
        <v>8</v>
      </c>
    </row>
    <row r="7" spans="1:6" ht="66" customHeight="1" x14ac:dyDescent="0.3">
      <c r="A7" s="78" t="s">
        <v>90</v>
      </c>
      <c r="B7" s="25" t="s">
        <v>102</v>
      </c>
      <c r="C7" s="26" t="s">
        <v>103</v>
      </c>
      <c r="D7" s="67" t="s">
        <v>9</v>
      </c>
      <c r="E7" s="68" t="s">
        <v>82</v>
      </c>
    </row>
    <row r="8" spans="1:6" ht="27" thickBot="1" x14ac:dyDescent="0.35">
      <c r="A8" s="16" t="s">
        <v>3</v>
      </c>
      <c r="B8" s="12" t="s">
        <v>6</v>
      </c>
      <c r="C8" s="82">
        <v>6.0600000000000003E-3</v>
      </c>
      <c r="D8" s="2" t="s">
        <v>7</v>
      </c>
      <c r="E8" s="19"/>
    </row>
    <row r="9" spans="1:6" ht="17.25" thickBot="1" x14ac:dyDescent="0.35"/>
    <row r="10" spans="1:6" ht="32.25" thickBot="1" x14ac:dyDescent="0.35">
      <c r="A10" s="86" t="s">
        <v>31</v>
      </c>
      <c r="B10" s="87"/>
      <c r="C10" s="87"/>
      <c r="D10" s="88"/>
    </row>
  </sheetData>
  <mergeCells count="2">
    <mergeCell ref="A1:D1"/>
    <mergeCell ref="A10:D10"/>
  </mergeCells>
  <phoneticPr fontId="3" type="noConversion"/>
  <hyperlinks>
    <hyperlink ref="D2" location="'2. 보험료 모의계산'!A1" display="시트 2번. 보험료 모의계산으로→"/>
  </hyperlinks>
  <pageMargins left="0.70866141732283472" right="0.70866141732283472" top="0.74803149606299213" bottom="0.74803149606299213" header="0.31496062992125984" footer="0.31496062992125984"/>
  <pageSetup paperSize="9" scale="7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A1:T20"/>
  <sheetViews>
    <sheetView workbookViewId="0">
      <selection activeCell="E5" sqref="E5"/>
    </sheetView>
  </sheetViews>
  <sheetFormatPr defaultRowHeight="16.5" x14ac:dyDescent="0.3"/>
  <cols>
    <col min="1" max="1" width="9" style="3"/>
    <col min="2" max="2" width="23.125" style="3" bestFit="1" customWidth="1"/>
    <col min="3" max="11" width="11.75" style="3" customWidth="1"/>
    <col min="12" max="12" width="16.125" style="3" bestFit="1" customWidth="1"/>
    <col min="13" max="13" width="16.625" style="3" customWidth="1"/>
    <col min="14" max="14" width="10.875" style="3" bestFit="1" customWidth="1"/>
    <col min="15" max="15" width="9" style="3"/>
    <col min="16" max="16" width="11.875" style="3" bestFit="1" customWidth="1"/>
    <col min="17" max="17" width="9.25" style="3" customWidth="1"/>
    <col min="18" max="18" width="9" style="3" hidden="1" customWidth="1"/>
    <col min="19" max="19" width="1.25" style="3" customWidth="1"/>
    <col min="20" max="16384" width="9" style="3"/>
  </cols>
  <sheetData>
    <row r="1" spans="1:20" ht="30" customHeight="1" thickBot="1" x14ac:dyDescent="0.35">
      <c r="B1" s="97" t="s">
        <v>97</v>
      </c>
      <c r="C1" s="98"/>
      <c r="D1" s="98"/>
      <c r="E1" s="98"/>
      <c r="F1" s="98"/>
      <c r="G1" s="98"/>
      <c r="H1" s="98"/>
      <c r="I1" s="98"/>
      <c r="J1" s="98"/>
      <c r="K1" s="99"/>
    </row>
    <row r="2" spans="1:20" ht="6" customHeight="1" thickBot="1" x14ac:dyDescent="0.35"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20" ht="28.5" customHeight="1" x14ac:dyDescent="0.3">
      <c r="A3" s="89" t="s">
        <v>75</v>
      </c>
      <c r="B3" s="100" t="s">
        <v>10</v>
      </c>
      <c r="C3" s="100" t="s">
        <v>11</v>
      </c>
      <c r="D3" s="100"/>
      <c r="E3" s="100" t="s">
        <v>12</v>
      </c>
      <c r="F3" s="100"/>
      <c r="G3" s="100" t="s">
        <v>13</v>
      </c>
      <c r="H3" s="100"/>
      <c r="I3" s="100" t="s">
        <v>14</v>
      </c>
      <c r="J3" s="100"/>
      <c r="K3" s="59" t="s">
        <v>15</v>
      </c>
      <c r="P3" s="29"/>
    </row>
    <row r="4" spans="1:20" ht="28.5" customHeight="1" x14ac:dyDescent="0.3">
      <c r="A4" s="90"/>
      <c r="B4" s="101"/>
      <c r="C4" s="60" t="s">
        <v>16</v>
      </c>
      <c r="D4" s="61" t="s">
        <v>17</v>
      </c>
      <c r="E4" s="60" t="s">
        <v>16</v>
      </c>
      <c r="F4" s="61" t="s">
        <v>17</v>
      </c>
      <c r="G4" s="60" t="s">
        <v>16</v>
      </c>
      <c r="H4" s="61" t="s">
        <v>17</v>
      </c>
      <c r="I4" s="60" t="s">
        <v>16</v>
      </c>
      <c r="J4" s="61" t="s">
        <v>17</v>
      </c>
      <c r="K4" s="62" t="s">
        <v>17</v>
      </c>
      <c r="L4" s="22" t="s">
        <v>22</v>
      </c>
      <c r="M4" s="22" t="s">
        <v>23</v>
      </c>
    </row>
    <row r="5" spans="1:20" ht="43.5" customHeight="1" thickBot="1" x14ac:dyDescent="0.35">
      <c r="A5" s="63" t="s">
        <v>83</v>
      </c>
      <c r="B5" s="64">
        <v>2000000</v>
      </c>
      <c r="C5" s="65">
        <f>ROUNDDOWN(ROUNDDOWN(IF($B5&lt;=390000,390000,IF($B5&lt;5900000,$B5,IF($B5&gt;=6170000,6170000,"오류"))),-3)*0.045,-1)</f>
        <v>90000</v>
      </c>
      <c r="D5" s="65">
        <f>ROUNDDOWN(ROUNDDOWN(IF($B5&lt;=390000,390000,IF($B5&lt;5900000,$B5,IF($B5&gt;=6170000,6170000,"오류"))),-3)*0.045,-1)</f>
        <v>90000</v>
      </c>
      <c r="E5" s="65">
        <f>ROUNDDOWN(IF($B5&lt;=279266,279266,IF($B5&lt;110332300,$B5,IF($B5&gt;=110332300,110332300,"오류")))*0.03545,-1)</f>
        <v>70900</v>
      </c>
      <c r="F5" s="65">
        <f>ROUNDDOWN(IF($B5&lt;=279266,279266,IF($B5&lt;110332300,$B5,IF($B5&gt;=110332300,110332300,"오류")))*0.03545,-1)</f>
        <v>70900</v>
      </c>
      <c r="G5" s="65">
        <f>ROUNDDOWN(E5*0.1295,-1)</f>
        <v>9180</v>
      </c>
      <c r="H5" s="65">
        <f>G5</f>
        <v>9180</v>
      </c>
      <c r="I5" s="65">
        <f>ROUNDDOWN($B5*0.009,-1)</f>
        <v>18000</v>
      </c>
      <c r="J5" s="65">
        <f>ROUNDDOWN($B5*0.0175,-1)</f>
        <v>35000</v>
      </c>
      <c r="K5" s="66">
        <f>ROUNDDOWN($B5*0.00606,-1)</f>
        <v>12120</v>
      </c>
      <c r="L5" s="23">
        <f>D5+F5+H5+J5+K5</f>
        <v>217200</v>
      </c>
      <c r="M5" s="24">
        <f>B5+L5</f>
        <v>2217200</v>
      </c>
      <c r="N5" s="28"/>
    </row>
    <row r="6" spans="1:20" x14ac:dyDescent="0.3">
      <c r="L6" s="28"/>
      <c r="N6" s="28"/>
      <c r="P6" s="28"/>
    </row>
    <row r="10" spans="1:20" x14ac:dyDescent="0.3">
      <c r="E10" s="28"/>
      <c r="G10" s="28"/>
    </row>
    <row r="12" spans="1:20" ht="17.25" thickBot="1" x14ac:dyDescent="0.35"/>
    <row r="13" spans="1:20" ht="42" customHeight="1" thickBot="1" x14ac:dyDescent="0.35">
      <c r="B13" s="105" t="s">
        <v>18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7"/>
    </row>
    <row r="14" spans="1:20" s="17" customFormat="1" ht="99.75" customHeight="1" thickBot="1" x14ac:dyDescent="0.35">
      <c r="B14" s="102" t="s">
        <v>86</v>
      </c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4"/>
      <c r="T14" s="18"/>
    </row>
    <row r="15" spans="1:20" ht="63.75" customHeight="1" thickBot="1" x14ac:dyDescent="0.35">
      <c r="B15" s="91" t="s">
        <v>84</v>
      </c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3"/>
      <c r="T15" s="20"/>
    </row>
    <row r="16" spans="1:20" ht="81.75" customHeight="1" thickBot="1" x14ac:dyDescent="0.35">
      <c r="B16" s="94" t="s">
        <v>85</v>
      </c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6"/>
      <c r="T16" s="20"/>
    </row>
    <row r="17" spans="2:11" x14ac:dyDescent="0.3">
      <c r="B17" s="5"/>
      <c r="C17" s="4"/>
      <c r="D17" s="4"/>
      <c r="E17" s="4"/>
      <c r="F17" s="4"/>
      <c r="G17" s="4"/>
      <c r="H17" s="4"/>
      <c r="I17" s="4"/>
      <c r="J17" s="4"/>
      <c r="K17" s="4"/>
    </row>
    <row r="18" spans="2:11" x14ac:dyDescent="0.3">
      <c r="B18" s="5"/>
      <c r="C18" s="4"/>
      <c r="D18" s="4"/>
      <c r="E18" s="4"/>
      <c r="F18" s="4"/>
      <c r="G18" s="4"/>
      <c r="H18" s="4"/>
      <c r="I18" s="4"/>
      <c r="J18" s="4"/>
      <c r="K18" s="4"/>
    </row>
    <row r="19" spans="2:11" x14ac:dyDescent="0.3"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2:11" x14ac:dyDescent="0.3">
      <c r="B20" s="6"/>
      <c r="C20" s="6"/>
      <c r="D20" s="6"/>
      <c r="E20" s="6"/>
      <c r="F20" s="6"/>
      <c r="G20" s="6"/>
      <c r="H20" s="6"/>
      <c r="I20" s="6"/>
      <c r="J20" s="6"/>
      <c r="K20" s="6"/>
    </row>
  </sheetData>
  <mergeCells count="11">
    <mergeCell ref="A3:A4"/>
    <mergeCell ref="B15:S15"/>
    <mergeCell ref="B16:S16"/>
    <mergeCell ref="B1:K1"/>
    <mergeCell ref="B3:B4"/>
    <mergeCell ref="C3:D3"/>
    <mergeCell ref="E3:F3"/>
    <mergeCell ref="G3:H3"/>
    <mergeCell ref="I3:J3"/>
    <mergeCell ref="B14:S14"/>
    <mergeCell ref="B13:S1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K27"/>
  <sheetViews>
    <sheetView showGridLines="0" workbookViewId="0">
      <selection sqref="A1:E1"/>
    </sheetView>
  </sheetViews>
  <sheetFormatPr defaultRowHeight="16.5" x14ac:dyDescent="0.3"/>
  <cols>
    <col min="1" max="1" width="20.25" style="3" customWidth="1"/>
    <col min="2" max="2" width="23.75" style="3" customWidth="1"/>
    <col min="3" max="3" width="78.25" style="3" customWidth="1"/>
    <col min="4" max="4" width="9" style="3"/>
    <col min="5" max="5" width="12.5" style="3" customWidth="1"/>
    <col min="6" max="16384" width="9" style="3"/>
  </cols>
  <sheetData>
    <row r="1" spans="1:11" s="69" customFormat="1" ht="30" customHeight="1" x14ac:dyDescent="0.3">
      <c r="A1" s="111" t="s">
        <v>93</v>
      </c>
      <c r="B1" s="111"/>
      <c r="C1" s="111"/>
      <c r="D1" s="111"/>
      <c r="E1" s="111"/>
      <c r="F1" s="70"/>
      <c r="G1" s="70"/>
      <c r="H1" s="70"/>
      <c r="I1" s="70"/>
      <c r="J1" s="70"/>
      <c r="K1" s="70"/>
    </row>
    <row r="3" spans="1:11" ht="17.25" thickBot="1" x14ac:dyDescent="0.35">
      <c r="A3" s="31" t="s">
        <v>24</v>
      </c>
      <c r="B3" s="31"/>
      <c r="C3" s="31"/>
    </row>
    <row r="4" spans="1:11" ht="35.25" customHeight="1" x14ac:dyDescent="0.3">
      <c r="A4" s="32" t="s">
        <v>25</v>
      </c>
      <c r="B4" s="33" t="s">
        <v>92</v>
      </c>
      <c r="C4" s="108" t="s">
        <v>26</v>
      </c>
    </row>
    <row r="5" spans="1:11" ht="35.25" customHeight="1" x14ac:dyDescent="0.3">
      <c r="A5" s="34" t="s">
        <v>27</v>
      </c>
      <c r="B5" s="36">
        <v>9860</v>
      </c>
      <c r="C5" s="109"/>
    </row>
    <row r="6" spans="1:11" ht="35.25" customHeight="1" x14ac:dyDescent="0.3">
      <c r="A6" s="34" t="s">
        <v>28</v>
      </c>
      <c r="B6" s="36">
        <v>78880</v>
      </c>
      <c r="C6" s="109" t="s">
        <v>76</v>
      </c>
    </row>
    <row r="7" spans="1:11" ht="35.25" customHeight="1" thickBot="1" x14ac:dyDescent="0.35">
      <c r="A7" s="35" t="s">
        <v>29</v>
      </c>
      <c r="B7" s="37">
        <v>2060740</v>
      </c>
      <c r="C7" s="110"/>
    </row>
    <row r="9" spans="1:11" x14ac:dyDescent="0.3">
      <c r="A9" s="31" t="s">
        <v>30</v>
      </c>
      <c r="B9" s="31"/>
      <c r="C9" s="31"/>
    </row>
    <row r="10" spans="1:11" x14ac:dyDescent="0.3">
      <c r="B10" s="31"/>
      <c r="C10" s="31"/>
      <c r="D10" s="31"/>
      <c r="E10" s="38">
        <v>9860</v>
      </c>
      <c r="F10" s="31"/>
    </row>
    <row r="11" spans="1:11" x14ac:dyDescent="0.3">
      <c r="B11" s="39"/>
      <c r="C11" s="40" t="s">
        <v>32</v>
      </c>
      <c r="D11" s="40" t="s">
        <v>33</v>
      </c>
      <c r="E11" s="40" t="s">
        <v>34</v>
      </c>
      <c r="F11" s="31"/>
    </row>
    <row r="12" spans="1:11" x14ac:dyDescent="0.3">
      <c r="B12" s="41" t="s">
        <v>35</v>
      </c>
      <c r="C12" s="42" t="s">
        <v>36</v>
      </c>
      <c r="D12" s="42">
        <v>209</v>
      </c>
      <c r="E12" s="43">
        <f>D12*$B$5</f>
        <v>2060740</v>
      </c>
      <c r="F12" s="31"/>
    </row>
    <row r="13" spans="1:11" x14ac:dyDescent="0.3">
      <c r="B13" s="41" t="s">
        <v>37</v>
      </c>
      <c r="C13" s="42" t="s">
        <v>38</v>
      </c>
      <c r="D13" s="42">
        <v>183</v>
      </c>
      <c r="E13" s="43">
        <f t="shared" ref="E13:E23" si="0">D13*$B$5</f>
        <v>1804380</v>
      </c>
      <c r="F13" s="31"/>
    </row>
    <row r="14" spans="1:11" x14ac:dyDescent="0.3">
      <c r="B14" s="41" t="s">
        <v>39</v>
      </c>
      <c r="C14" s="42" t="s">
        <v>40</v>
      </c>
      <c r="D14" s="42">
        <v>156</v>
      </c>
      <c r="E14" s="43">
        <f t="shared" si="0"/>
        <v>1538160</v>
      </c>
      <c r="F14" s="31"/>
    </row>
    <row r="15" spans="1:11" x14ac:dyDescent="0.3">
      <c r="B15" s="41" t="s">
        <v>41</v>
      </c>
      <c r="C15" s="42" t="s">
        <v>42</v>
      </c>
      <c r="D15" s="42">
        <v>130</v>
      </c>
      <c r="E15" s="43">
        <f t="shared" si="0"/>
        <v>1281800</v>
      </c>
      <c r="F15" s="31"/>
    </row>
    <row r="16" spans="1:11" x14ac:dyDescent="0.3">
      <c r="B16" s="41" t="s">
        <v>43</v>
      </c>
      <c r="C16" s="42" t="s">
        <v>44</v>
      </c>
      <c r="D16" s="42">
        <v>104</v>
      </c>
      <c r="E16" s="43">
        <f t="shared" si="0"/>
        <v>1025440</v>
      </c>
      <c r="F16" s="31"/>
    </row>
    <row r="17" spans="2:6" x14ac:dyDescent="0.3">
      <c r="B17" s="41" t="s">
        <v>45</v>
      </c>
      <c r="C17" s="42" t="s">
        <v>52</v>
      </c>
      <c r="D17" s="42">
        <v>78</v>
      </c>
      <c r="E17" s="43">
        <f t="shared" si="0"/>
        <v>769080</v>
      </c>
      <c r="F17" s="31"/>
    </row>
    <row r="18" spans="2:6" x14ac:dyDescent="0.3">
      <c r="B18" s="75" t="s">
        <v>46</v>
      </c>
      <c r="C18" s="76" t="s">
        <v>54</v>
      </c>
      <c r="D18" s="76">
        <v>61</v>
      </c>
      <c r="E18" s="77">
        <f t="shared" si="0"/>
        <v>601460</v>
      </c>
    </row>
    <row r="19" spans="2:6" x14ac:dyDescent="0.3">
      <c r="B19" s="75" t="s">
        <v>81</v>
      </c>
      <c r="C19" s="76" t="s">
        <v>53</v>
      </c>
      <c r="D19" s="76">
        <v>52</v>
      </c>
      <c r="E19" s="77">
        <f t="shared" si="0"/>
        <v>512720</v>
      </c>
      <c r="F19" s="31"/>
    </row>
    <row r="20" spans="2:6" x14ac:dyDescent="0.3">
      <c r="B20" s="75" t="s">
        <v>47</v>
      </c>
      <c r="C20" s="76" t="s">
        <v>55</v>
      </c>
      <c r="D20" s="76">
        <v>44</v>
      </c>
      <c r="E20" s="77">
        <f t="shared" si="0"/>
        <v>433840</v>
      </c>
      <c r="F20" s="31"/>
    </row>
    <row r="21" spans="2:6" x14ac:dyDescent="0.3">
      <c r="B21" s="75" t="s">
        <v>48</v>
      </c>
      <c r="C21" s="76" t="s">
        <v>56</v>
      </c>
      <c r="D21" s="76">
        <v>39</v>
      </c>
      <c r="E21" s="77">
        <f t="shared" si="0"/>
        <v>384540</v>
      </c>
      <c r="F21" s="31"/>
    </row>
    <row r="22" spans="2:6" x14ac:dyDescent="0.3">
      <c r="B22" s="75" t="s">
        <v>49</v>
      </c>
      <c r="C22" s="76" t="s">
        <v>57</v>
      </c>
      <c r="D22" s="76">
        <v>35</v>
      </c>
      <c r="E22" s="77">
        <f t="shared" si="0"/>
        <v>345100</v>
      </c>
      <c r="F22" s="31"/>
    </row>
    <row r="23" spans="2:6" x14ac:dyDescent="0.3">
      <c r="B23" s="75" t="s">
        <v>50</v>
      </c>
      <c r="C23" s="76" t="s">
        <v>51</v>
      </c>
      <c r="D23" s="76">
        <v>26</v>
      </c>
      <c r="E23" s="77">
        <f t="shared" si="0"/>
        <v>256360</v>
      </c>
      <c r="F23" s="31"/>
    </row>
    <row r="24" spans="2:6" x14ac:dyDescent="0.3">
      <c r="B24" s="31" t="s">
        <v>58</v>
      </c>
    </row>
    <row r="25" spans="2:6" x14ac:dyDescent="0.3">
      <c r="B25" s="44" t="s">
        <v>89</v>
      </c>
      <c r="D25" s="56"/>
      <c r="E25" s="28"/>
    </row>
    <row r="27" spans="2:6" x14ac:dyDescent="0.3">
      <c r="E27" s="28"/>
    </row>
  </sheetData>
  <mergeCells count="3">
    <mergeCell ref="C4:C5"/>
    <mergeCell ref="C6:C7"/>
    <mergeCell ref="A1:E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showGridLines="0" workbookViewId="0">
      <selection sqref="A1:E1"/>
    </sheetView>
  </sheetViews>
  <sheetFormatPr defaultRowHeight="16.5" x14ac:dyDescent="0.3"/>
  <cols>
    <col min="1" max="1" width="22.5" customWidth="1"/>
    <col min="2" max="2" width="34" customWidth="1"/>
    <col min="3" max="3" width="33.375" customWidth="1"/>
    <col min="4" max="4" width="45.75" customWidth="1"/>
    <col min="5" max="5" width="39.125" customWidth="1"/>
  </cols>
  <sheetData>
    <row r="1" spans="1:11" s="69" customFormat="1" ht="30" customHeight="1" x14ac:dyDescent="0.3">
      <c r="A1" s="111" t="s">
        <v>95</v>
      </c>
      <c r="B1" s="111"/>
      <c r="C1" s="111"/>
      <c r="D1" s="111"/>
      <c r="E1" s="111"/>
      <c r="F1" s="70"/>
      <c r="G1" s="70"/>
      <c r="H1" s="70"/>
      <c r="I1" s="70"/>
      <c r="J1" s="70"/>
      <c r="K1" s="70"/>
    </row>
    <row r="3" spans="1:11" x14ac:dyDescent="0.3">
      <c r="A3" s="19" t="s">
        <v>73</v>
      </c>
    </row>
    <row r="4" spans="1:11" x14ac:dyDescent="0.3">
      <c r="A4" s="45"/>
      <c r="B4" s="46" t="s">
        <v>59</v>
      </c>
      <c r="C4" s="46" t="s">
        <v>60</v>
      </c>
      <c r="D4" s="46" t="s">
        <v>61</v>
      </c>
      <c r="E4" s="46" t="s">
        <v>62</v>
      </c>
    </row>
    <row r="5" spans="1:11" ht="68.25" customHeight="1" x14ac:dyDescent="0.3">
      <c r="A5" s="47" t="s">
        <v>63</v>
      </c>
      <c r="B5" s="48" t="s">
        <v>96</v>
      </c>
      <c r="C5" s="49" t="s">
        <v>64</v>
      </c>
      <c r="D5" s="50" t="s">
        <v>98</v>
      </c>
      <c r="E5" s="51" t="s">
        <v>65</v>
      </c>
    </row>
    <row r="6" spans="1:11" ht="49.5" x14ac:dyDescent="0.3">
      <c r="A6" s="52" t="s">
        <v>79</v>
      </c>
      <c r="B6" s="53" t="s">
        <v>78</v>
      </c>
      <c r="C6" s="54" t="s">
        <v>77</v>
      </c>
      <c r="D6" s="53" t="s">
        <v>80</v>
      </c>
      <c r="E6" s="51" t="s">
        <v>74</v>
      </c>
    </row>
    <row r="7" spans="1:11" ht="33" x14ac:dyDescent="0.3">
      <c r="A7" s="55" t="s">
        <v>66</v>
      </c>
      <c r="B7" s="54" t="s">
        <v>67</v>
      </c>
      <c r="C7" s="54" t="s">
        <v>68</v>
      </c>
      <c r="D7" s="51" t="s">
        <v>65</v>
      </c>
      <c r="E7" s="51" t="s">
        <v>65</v>
      </c>
    </row>
    <row r="8" spans="1:11" ht="24.75" customHeight="1" x14ac:dyDescent="0.3">
      <c r="A8" s="72" t="s">
        <v>69</v>
      </c>
      <c r="B8" s="41" t="s">
        <v>70</v>
      </c>
      <c r="C8" s="42"/>
      <c r="D8" s="42"/>
      <c r="E8" s="42"/>
    </row>
    <row r="9" spans="1:11" ht="24.75" customHeight="1" x14ac:dyDescent="0.3">
      <c r="A9" s="73" t="s">
        <v>71</v>
      </c>
      <c r="B9" s="41" t="s">
        <v>72</v>
      </c>
      <c r="C9" s="42"/>
      <c r="D9" s="42"/>
      <c r="E9" s="42"/>
    </row>
    <row r="10" spans="1:11" ht="24.75" customHeight="1" x14ac:dyDescent="0.3">
      <c r="A10" s="71"/>
      <c r="B10" s="31"/>
      <c r="C10" s="31"/>
      <c r="D10" s="31"/>
      <c r="E10" s="31"/>
    </row>
    <row r="11" spans="1:11" ht="24.75" customHeight="1" x14ac:dyDescent="0.3">
      <c r="A11" s="74" t="s">
        <v>88</v>
      </c>
      <c r="B11" s="112" t="s">
        <v>87</v>
      </c>
      <c r="C11" s="112"/>
      <c r="D11" s="112"/>
      <c r="E11" s="112"/>
    </row>
    <row r="12" spans="1:11" x14ac:dyDescent="0.3">
      <c r="A12" s="31"/>
      <c r="B12" s="31"/>
      <c r="C12" s="31"/>
      <c r="D12" s="31"/>
      <c r="E12" s="31"/>
    </row>
  </sheetData>
  <mergeCells count="2">
    <mergeCell ref="A1:E1"/>
    <mergeCell ref="B11:E1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1. 보험료율 및 관리계좌정보</vt:lpstr>
      <vt:lpstr>2. 보험료 모의계산</vt:lpstr>
      <vt:lpstr>3. 최저임금</vt:lpstr>
      <vt:lpstr>4.단시간단기간</vt:lpstr>
      <vt:lpstr>'1. 보험료율 및 관리계좌정보'!Print_Area</vt:lpstr>
      <vt:lpstr>'2. 보험료 모의계산'!Print_Area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SNU</dc:creator>
  <cp:lastModifiedBy>owner</cp:lastModifiedBy>
  <cp:lastPrinted>2018-04-12T07:59:48Z</cp:lastPrinted>
  <dcterms:created xsi:type="dcterms:W3CDTF">2013-12-27T02:13:39Z</dcterms:created>
  <dcterms:modified xsi:type="dcterms:W3CDTF">2024-10-23T07:05:11Z</dcterms:modified>
</cp:coreProperties>
</file>